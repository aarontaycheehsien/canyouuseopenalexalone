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S:\IOESSRU_Epi Centre\LACES - NIHR Evidence Synthesis Group\TaSP\Methods-sub-study 1- submission and response\"/>
    </mc:Choice>
  </mc:AlternateContent>
  <xr:revisionPtr revIDLastSave="0" documentId="13_ncr:1_{CFC48532-0E97-4785-B554-ACDD3EA6C6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cludes in DES map = 133" sheetId="1" r:id="rId1"/>
    <sheet name="OpenAlex not Pubm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6" i="1" l="1"/>
  <c r="E136" i="1"/>
  <c r="C136" i="1"/>
  <c r="B136" i="1"/>
  <c r="G136" i="1"/>
  <c r="E14" i="2"/>
  <c r="F14" i="2"/>
  <c r="G14" i="2"/>
</calcChain>
</file>

<file path=xl/sharedStrings.xml><?xml version="1.0" encoding="utf-8"?>
<sst xmlns="http://schemas.openxmlformats.org/spreadsheetml/2006/main" count="1155" uniqueCount="309">
  <si>
    <t>ShortTitle</t>
  </si>
  <si>
    <t>Title</t>
  </si>
  <si>
    <t>Year</t>
  </si>
  <si>
    <t>Abdella (2019)</t>
  </si>
  <si>
    <t>Diabetic retinopathy screening in a Canadian community pediatric diabetes clinic.</t>
  </si>
  <si>
    <t>2019</t>
  </si>
  <si>
    <t>Ahern (2021)</t>
  </si>
  <si>
    <t>A micro costing analysis of the development of a primary care intervention to improve the uptake of diabetic retinopathy screening.</t>
  </si>
  <si>
    <t>2021</t>
  </si>
  <si>
    <t>Ahmad (2019)</t>
  </si>
  <si>
    <t>A Health Equity Audit of the Diabetic Eye Screening Programmes in Cumbria and the North East</t>
  </si>
  <si>
    <t>Anderson (2003)</t>
  </si>
  <si>
    <t>Ambulatory photographic screening for diabetic retinopathy in nursing homes.</t>
  </si>
  <si>
    <t>2003</t>
  </si>
  <si>
    <t>Arora (2013)</t>
  </si>
  <si>
    <t>Dismantling sociocultural barriers to eye care with tele-ophthalmology: lessons from an Alberta Cree community.</t>
  </si>
  <si>
    <t>2013</t>
  </si>
  <si>
    <t>Askew (2009)</t>
  </si>
  <si>
    <t>Diabetic retinopathy screening in general practice: a pilot study.</t>
  </si>
  <si>
    <t>2009</t>
  </si>
  <si>
    <t>Atkinson-Briggs (2022)</t>
  </si>
  <si>
    <t>Mixed diabetic retinopathy screening coverage results in Indigenous Australian primary care settings: A nurse-led model of integrated diabetes care.</t>
  </si>
  <si>
    <t>2022</t>
  </si>
  <si>
    <t>Ballios (2021)</t>
  </si>
  <si>
    <t>Identifying gaps in patient access to diabetic screening eye examinations in Ontario: a provincially representative cross-sectional study.</t>
  </si>
  <si>
    <t>Bennett (2017)</t>
  </si>
  <si>
    <t>Investigating the Barriers to the Uptake of Diabetic RetinaScreen.</t>
  </si>
  <si>
    <t>2017</t>
  </si>
  <si>
    <t>Boucher (2008)</t>
  </si>
  <si>
    <t>Teleophthalmology screening for diabetic retinopathy through mobile imaging units within Canada.</t>
  </si>
  <si>
    <t>2008</t>
  </si>
  <si>
    <t>Buch (2005)</t>
  </si>
  <si>
    <t>An assessment of the coverage of a district‐wide diabetic retinopathy screening service</t>
  </si>
  <si>
    <t>2005</t>
  </si>
  <si>
    <t>Bush (2014)</t>
  </si>
  <si>
    <t>Cluster randomised controlled trial evaluation of a Link Worker-delivered intervention to improve uptake of diabetic retinopathy screening in a South Asian population.</t>
  </si>
  <si>
    <t>2014</t>
  </si>
  <si>
    <t>Campbell (2020)</t>
  </si>
  <si>
    <t>Diabetes-induced eye disease among First Nations people in Ontario: a longitudinal, population-based cohort study</t>
  </si>
  <si>
    <t>2020</t>
  </si>
  <si>
    <t>Cao (2022)</t>
  </si>
  <si>
    <t>Sociodemographics Associated With Risk of Diabetic Retinopathy Detected by Tele-Ophthalmology: 5-Year Results of the Toronto Tele-Retinal Screening Program.</t>
  </si>
  <si>
    <t>Chung (2020)</t>
  </si>
  <si>
    <t>Type 2 Diabetic Retinopathy Screening in a General Practice: A Five-Year Retrospective Analysis.</t>
  </si>
  <si>
    <t>Coronado (2016)</t>
  </si>
  <si>
    <t>Diabetic retinopathy screening with pharmacy-based teleophthalmology in a semiurban setting: a cost-effectiveness analysis.</t>
  </si>
  <si>
    <t>2016</t>
  </si>
  <si>
    <t>Crossland (2016)</t>
  </si>
  <si>
    <t>Diabetic Retinopathy Screening and Monitoring of Early Stage Disease in Australian General Practice: Tackling Preventable Blindness within a Chronic Care Model.</t>
  </si>
  <si>
    <t>Crossland (2017)</t>
  </si>
  <si>
    <t>Successfully implementing a diabetic retinopathy screening service in general practice: What does the evidence tell us?</t>
  </si>
  <si>
    <t>Cushley (2021)</t>
  </si>
  <si>
    <t>Diabetic retinopathy screening programme: Attendance, barriers and enablers amongst young people with diabetes mellitus aged 12–26 years</t>
  </si>
  <si>
    <t>Cushley (2022)</t>
  </si>
  <si>
    <t>The Integration of Diabetic Eye Screening into Hemodialysis Units in Northern Ireland.</t>
  </si>
  <si>
    <t>Dervan (2008)</t>
  </si>
  <si>
    <t>Factors that influence the patient uptake of diabetic retinopathy screening.</t>
  </si>
  <si>
    <t>Felfeli (2019)</t>
  </si>
  <si>
    <t>Toronto tele-retinal screening program for detection of diabetic retinopathy and macular edema.</t>
  </si>
  <si>
    <t>Felfeli (2023)</t>
  </si>
  <si>
    <t>Prevalence and predictors for being unscreened for diabetic retinopathy: a population-based study over a decade.</t>
  </si>
  <si>
    <t>2023</t>
  </si>
  <si>
    <t>Ford (2021)</t>
  </si>
  <si>
    <t>Experiences of Patients With Diabetes Attending a Publicly Funded Eye Care Pathway in Western Sydney: A Qualitative Study.</t>
  </si>
  <si>
    <t>Foreman (2017)</t>
  </si>
  <si>
    <t>Adherence to diabetic eye examination guidelines in Australia: the National Eye Health Survey.</t>
  </si>
  <si>
    <t>Forster (2013)</t>
  </si>
  <si>
    <t>Non-attendance at diabetic eye screening and risk of sight-threatening diabetic retinopathy: a population-based cohort study.</t>
  </si>
  <si>
    <t>Fraser (2011)</t>
  </si>
  <si>
    <t>Sociodemographic differences in diabetic retinopathy screening; using patient-level primary care data for health equity audit</t>
  </si>
  <si>
    <t>2011</t>
  </si>
  <si>
    <t>Frederikson (2008)</t>
  </si>
  <si>
    <t>Diabetes eye screening in the Wellington region of New Zealand: characteristics of the enrolled population (2002-2005).</t>
  </si>
  <si>
    <t>Garvican (2004)</t>
  </si>
  <si>
    <t>A pilot quality assurance scheme for diabetic retinopathy risk reduction programmes.</t>
  </si>
  <si>
    <t>2004</t>
  </si>
  <si>
    <t>Glasson (2016)</t>
  </si>
  <si>
    <t>An Innovative Australian Outreach Model of Diabetic Retinopathy Screening in Remote Communities.</t>
  </si>
  <si>
    <t>Glasson (2017)</t>
  </si>
  <si>
    <t>What do patients with diabetes and providers think of an innovative Australian model of remote diabetic retinopathy screening? A qualitative study.</t>
  </si>
  <si>
    <t>Grimshaw (2014)</t>
  </si>
  <si>
    <t>Looking inside the black box: results of a theory-based process evaluation exploring the results of a randomized controlled trial of printed educational messages to increase primary care physicians’ diabetic retinopathy referrals</t>
  </si>
  <si>
    <t>Gulliford (2010)</t>
  </si>
  <si>
    <t>Socio-economic and ethnic inequalities in diabetes retinal screening.</t>
  </si>
  <si>
    <t>2010</t>
  </si>
  <si>
    <t>Harbers (2022)</t>
  </si>
  <si>
    <t>Understanding barriers to diabetes eye screening in a large rural general practice: an audit of patients not reached by screening services.</t>
  </si>
  <si>
    <t>Harvey (2006)</t>
  </si>
  <si>
    <t>Towards comprehensive population-based screening for diabetic retinopathy: operation of the North Wales diabetic retinopathy screening programme using a central patient register and various screening methods</t>
  </si>
  <si>
    <t>2006</t>
  </si>
  <si>
    <t>Hayden (2012)</t>
  </si>
  <si>
    <t>The barriers and enablers that affect access to primary and secondary eye care services across England, Wales, Scotland and Northern Ireland</t>
  </si>
  <si>
    <t>2012</t>
  </si>
  <si>
    <t>Hipwell (2014)</t>
  </si>
  <si>
    <t>Attitudes, access and anguish: a qualitative interview study of staff and patients' experiences of diabetic retinopathy screening.</t>
  </si>
  <si>
    <t>Ho (2006)</t>
  </si>
  <si>
    <t>The role of tele-ophthalmology as part of a community health service to remote top end Northern Territory communities : cost-effectiveness study of diabetic retinopathy screening, monitoring and management</t>
  </si>
  <si>
    <t>Hwang (2015)</t>
  </si>
  <si>
    <t>Socioeconomic factors associated with visual impairment and ophthalmic care utilization in patients with type II diabetes.</t>
  </si>
  <si>
    <t>2015</t>
  </si>
  <si>
    <t>Hwang (2017)</t>
  </si>
  <si>
    <t>Measuring socioeconomic inequalities in eye care services among patients with diabetes in Alberta, Canada, 1995-2009.</t>
  </si>
  <si>
    <t>Ibanez-Bruron (2019)</t>
  </si>
  <si>
    <t>Vulnerabilities in diabetic eye screening for children and young people in England.</t>
  </si>
  <si>
    <t>James (2016)</t>
  </si>
  <si>
    <t>Report on the creation of a diabetes register and retinopathy screening outcomes in the Mid-West of Ireland.</t>
  </si>
  <si>
    <t>Jamison (2021)</t>
  </si>
  <si>
    <t>Screening attendance, prevalence and severity of diabetic retinopathy (DR) in a cohort of patients with diabetes mellitus secondary to chronic pancreatitis (DMsCP) in Northern Ireland.</t>
  </si>
  <si>
    <t>Judah (2018)</t>
  </si>
  <si>
    <t>Financial disincentives? A three-armed randomised controlled trial of the effect of financial Incentives in Diabetic Eye Assessment by Screening (IDEAS) trial</t>
  </si>
  <si>
    <t>2018</t>
  </si>
  <si>
    <t>Kanjee (2017)</t>
  </si>
  <si>
    <t>Six-year prevalence and incidence of diabetic retinopathy and cost-effectiveness of tele-ophthalmology in Manitoba</t>
  </si>
  <si>
    <t>Kaur (2004)</t>
  </si>
  <si>
    <t>The current status of diabetes care, diabetic retinopathy screening and eye-care in British Columbia's First Nations Communities.</t>
  </si>
  <si>
    <t>Kelly (2021)</t>
  </si>
  <si>
    <t>Factors associated with non-attendance in the Irish national diabetic retinopathy screening programme (INDEAR study report no. 2).</t>
  </si>
  <si>
    <t>Khou (2021)</t>
  </si>
  <si>
    <t>Evaluation of the initial implementation of a nationwide diabetic retinopathy screening programme in primary care: a multimethod study.</t>
  </si>
  <si>
    <t>Kim (2015)</t>
  </si>
  <si>
    <t>Teleophthalmology for first nations clients at risk of diabetic retinopathy: a mixed methods evaluation.</t>
  </si>
  <si>
    <t>Kiran (2013)</t>
  </si>
  <si>
    <t>Unintended consequences of delisting routine eye exams on retinopathy screening for people with diabetes in Ontario, Canada.</t>
  </si>
  <si>
    <t>Kirkwood (2006)</t>
  </si>
  <si>
    <t>Ophthalmic nurse practitioner led diabetic retinopathy screening. Results of a 3-month trial.</t>
  </si>
  <si>
    <t>Kumar (2022)</t>
  </si>
  <si>
    <t>Non-attendance at Diabetes Eye Services in South Auckland and the impact of Covid19</t>
  </si>
  <si>
    <t>Lake (2017)</t>
  </si>
  <si>
    <t>What factors influence uptake of retinal screening among young adults with type 2 diabetes? A qualitative study informed by the theoretical domains framework.</t>
  </si>
  <si>
    <t>Lake (2018)</t>
  </si>
  <si>
    <t>A tailored intervention to promote uptake of retinal screening among young adults with type 2 diabetes-an intervention mapping approach</t>
  </si>
  <si>
    <t>Lake (2020)</t>
  </si>
  <si>
    <t>Effect of a tailored leaflet to promote diabetic retinopathy screening among young adults with type 2 diabetes: a randomised controlled trial.</t>
  </si>
  <si>
    <t>Lam (2023)</t>
  </si>
  <si>
    <t>Diabetic retinopathy screening of Aboriginal and Torres Strait Islanders in the Top End health service.</t>
  </si>
  <si>
    <t>Lawrenson (2021)</t>
  </si>
  <si>
    <t>Trends in diabetic retinopathy screening attendance and associations with vision impairment attributable to diabetes in a large nationwide cohort.</t>
  </si>
  <si>
    <t>Leal (2019)</t>
  </si>
  <si>
    <t>Cost-effectiveness of digital surveillance clinics with optical coherence tomography versus hospital eye service follow-up for patients with screen-positive maculopathy.</t>
  </si>
  <si>
    <t>Leese (2005)</t>
  </si>
  <si>
    <t>Implementation of national diabetes retinal screening programme is associated with a lower proportion of patients referred to ophthalmology.</t>
  </si>
  <si>
    <t>Leese (2008)</t>
  </si>
  <si>
    <t>Screening uptake in a well-established diabetic retinopathy screening program: the role of geographical access and deprivation</t>
  </si>
  <si>
    <t>Lewis (2007)</t>
  </si>
  <si>
    <t>A qualitative study in the United Kingdom of factors influencing attendance by patients with diabetes at ophthalmic outpatient clinics.</t>
  </si>
  <si>
    <t>2007</t>
  </si>
  <si>
    <t>Lewis (2022)</t>
  </si>
  <si>
    <t>Perceived barriers and facilitators to attending diabetic eye screening appointments during the COVID-19 pandemic</t>
  </si>
  <si>
    <t>Li (2015)</t>
  </si>
  <si>
    <t>Reviewing guidelines on diabetic retinopathy screening in children and adolescents with type 1 diabetes: is there consistency amongst practitioners?</t>
  </si>
  <si>
    <t>Lindenmeyer (2014)</t>
  </si>
  <si>
    <t>Influence of primary care practices on patients' uptake of diabetic retinopathy screening: a qualitative case study</t>
  </si>
  <si>
    <t>Liu (2023)</t>
  </si>
  <si>
    <t>Effectiveness of Nonmydriatic Ultra-Widefield Retinal Imaging to Screen for Diabetic Eye Disease: A Randomized Controlled Trial (Clearsight).</t>
  </si>
  <si>
    <t>Long (2020)</t>
  </si>
  <si>
    <t>Evaluation of a hospital-based integrated model of eye care for diabetic retinopathy assessment: a multimethod study.</t>
  </si>
  <si>
    <t>Lovshin (2017)</t>
  </si>
  <si>
    <t>Inadequate screening for retinopathy among recent immigrants with type 2 diabetes despite universal health care: A population-based study.</t>
  </si>
  <si>
    <t>Maberley (2003)</t>
  </si>
  <si>
    <t>Screening for diabetic retinopathy in James Bay, Ontario: a cost-effectiveness analysis.</t>
  </si>
  <si>
    <t>Mc Hugh (2013)</t>
  </si>
  <si>
    <t>Quality-assured screening for diabetic retinopathy delivered in primary care in Ireland: an observational study</t>
  </si>
  <si>
    <t>McIntyre (2015)</t>
  </si>
  <si>
    <t>Improving the communication pathway for eye screening in paediatric diabetes</t>
  </si>
  <si>
    <t>Meyer (2016)</t>
  </si>
  <si>
    <t>Evaluating a health video on diabetic retinopathy.</t>
  </si>
  <si>
    <t>Millett (2006)</t>
  </si>
  <si>
    <t>Diabetes retinopathy screening: audit of equity in participation and selected outcomes in South East London.</t>
  </si>
  <si>
    <t>Moinul (2020)</t>
  </si>
  <si>
    <t>Does patient education improve compliance to routine diabetic retinopathy screening?</t>
  </si>
  <si>
    <t>Moreton (2017)</t>
  </si>
  <si>
    <t>Factors determining uptake of diabetic retinopathy screening in Oxfordshire.</t>
  </si>
  <si>
    <t>Moynihan (2017)</t>
  </si>
  <si>
    <t>Coordination of diabetic retinopathy screening in the Kimberley region of Western Australia.</t>
  </si>
  <si>
    <t>Müller (2006)</t>
  </si>
  <si>
    <t>Factors associated with regular eye examinations in people with diabetes: results from the Victorian Population Health Survey</t>
  </si>
  <si>
    <t>Murray (2005)</t>
  </si>
  <si>
    <t>Sustaining remote-area programs: retinal camera use by Aboriginal health workers and nurses in a Kimberley partnership.</t>
  </si>
  <si>
    <t>Nagi (2009)</t>
  </si>
  <si>
    <t>A national survey of the current state of screening services for diabetic retinopathy: ABCD–Diabetes UK survey of specialist diabetes services 2006</t>
  </si>
  <si>
    <t>Nakhla (2009)</t>
  </si>
  <si>
    <t>Transition to adult care for youths with diabetes mellitus: findings from a Universal Health Care System.</t>
  </si>
  <si>
    <t>Nathoo (2010)</t>
  </si>
  <si>
    <t>The prevalence of diabetic retinopathy as identified by teleophthalmology in rural Alberta.</t>
  </si>
  <si>
    <t>Nguyen (2022)</t>
  </si>
  <si>
    <t>Perceptions of a Teleophthalmology Screening Program for Diabetic Retinopathy in Adults With Type 1 and Type 2 Diabetes in Urban Primary Care Settings.</t>
  </si>
  <si>
    <t>O'Keeffe (2021)</t>
  </si>
  <si>
    <t>Predictors of attendance at diabetic retinopathy screening among people with type 2 diabetes: Secondary analysis of data from primary care.</t>
  </si>
  <si>
    <t>Olvera-Barrios (2021)</t>
  </si>
  <si>
    <t>Effect of ethnicity and other sociodemographic factors on attendance at diabetic eye screening: a 12-month retrospective cohort study.</t>
  </si>
  <si>
    <t>Orton (2013)</t>
  </si>
  <si>
    <t>Equity of uptake of a diabetic retinopathy screening programme in a geographically and socio-economically diverse population.</t>
  </si>
  <si>
    <t>Pandey (2022)</t>
  </si>
  <si>
    <t>Irish National Diabetic RetinaScreen Programme: report on five rounds of retinopathy screening and screen-positive referrals. (INDEAR study report no. 1).</t>
  </si>
  <si>
    <t>Presseau (2023)</t>
  </si>
  <si>
    <t>THE CO-DEVELOPMENT OF A LINGUISTIC AND CULTURALLY TAILORED TELE-RETINOPATHY SCREENING INTERVENTION FOR IMMIGRANTS LIVING WITH DIABETES FROM CHINA AND AFRICAN-CARIBBEAN COUNTRIES IN OTTAWA, CANADA</t>
  </si>
  <si>
    <t>Prothero (2021)</t>
  </si>
  <si>
    <t xml:space="preserve">Perceived barriers and enablers to the provision of diabetic retinopathy screening for young adults: a cross-sectional survey of healthcare professionals working in the UK National Diabetic Eye Screening Programme </t>
  </si>
  <si>
    <t>Prothero (2022)</t>
  </si>
  <si>
    <t>Barriers and enablers to diabetic eye screening attendance: an interview study with young adults with type 1 diabetes</t>
  </si>
  <si>
    <t>Barriers and enablers to diabetic retinopathy screening: a cross-sectional survey of young adults with type 1 and type 2 diabetes in the UK.</t>
  </si>
  <si>
    <t>Ramke (2019)</t>
  </si>
  <si>
    <t>Diabetic eye disease and screening attendance by ethnicity in New Zealand: A systematic review.</t>
  </si>
  <si>
    <t>Reda (2003)</t>
  </si>
  <si>
    <t>Screening for diabetic retinopathy using the mobile retinal camera: the Waikato experience</t>
  </si>
  <si>
    <t>Riordan (2020)</t>
  </si>
  <si>
    <t>Development of an intervention to facilitate implementation and uptake of diabetic retinopathy screening</t>
  </si>
  <si>
    <t>Riordan (2021)</t>
  </si>
  <si>
    <t>Acceptability and feasibility of conducting a pilot trial in Irish primary care: lessons from the IDEAs study.</t>
  </si>
  <si>
    <t>Feasibility of a multifaceted implementation intervention to improve attendance at diabetic retinopathy screening in primary care in Ireland: a cluster randomised pilot trial.</t>
  </si>
  <si>
    <t>Sachdeva (2012)</t>
  </si>
  <si>
    <t>Diabetic retinopathy screening: Study to determine risk factors for non-attendance.</t>
  </si>
  <si>
    <t>Scanlon (2008)</t>
  </si>
  <si>
    <t>Diabetic retinopathy and socioeconomic deprivation in Gloucestershire.</t>
  </si>
  <si>
    <t>Scanlon (2013)</t>
  </si>
  <si>
    <t>Updating diabetic retinopathy screening lists using automatic extraction from GP patient records</t>
  </si>
  <si>
    <t>Scanlon (2016)</t>
  </si>
  <si>
    <t>Screening attendance, age group and diabetic retinopathy level at first screen.</t>
  </si>
  <si>
    <t>Sherwood (2022)</t>
  </si>
  <si>
    <t>Can collaborative working improve diabetic retinal screening rates in individuals also diagnosed with a severe mental illness?</t>
  </si>
  <si>
    <t>Shotliff (2010)</t>
  </si>
  <si>
    <t>British Association of Retinal Screeners (BARS): survey of workload in UK diabetic retinopathy screening programmes</t>
  </si>
  <si>
    <t>Silwal (2023)</t>
  </si>
  <si>
    <t>Use of public sector diabetes eye services in New Zealand 2006-2019: Analysis of national routinely collected datasets.</t>
  </si>
  <si>
    <t>Spurling (2010)</t>
  </si>
  <si>
    <t>Retinal photography for diabetic retinopathy screening in Indigenous primary health care: the Inala experience.</t>
  </si>
  <si>
    <t>Stamenova (2023)</t>
  </si>
  <si>
    <t>Mailed Letter Versus Phone Call to Increase Diabetic-Related Retinopathy Screening Engagement by Patients in a Team-Based Primary Care Practice: Prospective, Single-Masked, Randomized Trial.</t>
  </si>
  <si>
    <t>Stillman (2004)</t>
  </si>
  <si>
    <t>Telepaediatrics and diabetic retinopathy screening of young people with diabetes in Queensland.</t>
  </si>
  <si>
    <t>Strutton (2016)</t>
  </si>
  <si>
    <t>System-level and patient-level explanations for non-attendance at diabetic retinopathy screening in Sutton and Merton (London, UK): a qualitative analysis of a service evaluation.</t>
  </si>
  <si>
    <t>Tang (2021)</t>
  </si>
  <si>
    <t>An overview of optometrists' diabetic retinopathy practice patterns - a cross-sectional survey.</t>
  </si>
  <si>
    <t>Tanya (2021)</t>
  </si>
  <si>
    <t>Eye-care Utilization Among a Canadian Diabetic Refugee Population: A Retrospective Cohort Pilot Study</t>
  </si>
  <si>
    <t>Tapp (2015)</t>
  </si>
  <si>
    <t>Retinal photography screening programs to prevent vision loss from diabetic retinopathy in rural and urban Australia: a review.</t>
  </si>
  <si>
    <t>Thomas (2021)</t>
  </si>
  <si>
    <t>Characteristics of repeat non-attenders at Diabetes Eye Screening Wales, a national community-based diabetes-related retinopathy screening service, during 2003-2018.</t>
  </si>
  <si>
    <t>Ting (2011)</t>
  </si>
  <si>
    <t>Diabetic retinopathy management by Australian optometrists</t>
  </si>
  <si>
    <t>Diabetic retinopathy: screening and management by Australian GPs</t>
  </si>
  <si>
    <t>Tracey (2019)</t>
  </si>
  <si>
    <t>Understanding the uptake of a national retinopathy screening programme: An audit of people with diabetes in two large primary care centres</t>
  </si>
  <si>
    <t>Turner (2004)</t>
  </si>
  <si>
    <t>Improving retinopathy screening -- are we meeting the NSF target?</t>
  </si>
  <si>
    <t>Tye (2015)</t>
  </si>
  <si>
    <t>Evaluating digital diabetic retinopathy screening in people aged 90 years and over.</t>
  </si>
  <si>
    <t>Umaefulam (2020)</t>
  </si>
  <si>
    <t>Impact of mobile health in diabetic retinopathy awareness and eye care behavior among Indigenous women.</t>
  </si>
  <si>
    <t>Umaefulam (2023)</t>
  </si>
  <si>
    <t>Enablers and barriers to diabetic retinopathy eye care among first nations and Métis women.</t>
  </si>
  <si>
    <t>van Allen (2021)</t>
  </si>
  <si>
    <t>Barriers to and enablers of attendance at diabetic retinopathy screening experienced by immigrants to Canada from multiple cultural and linguistic minority groups.</t>
  </si>
  <si>
    <t>Villalba (2019)</t>
  </si>
  <si>
    <t>A mixed-methods retrospective study: 10 years of diabetic retinopathy screening in urban Aboriginal and Torres Strait Islander primary care.</t>
  </si>
  <si>
    <t>Virani (2006)</t>
  </si>
  <si>
    <t>Rationale and implementation of the SLICK project</t>
  </si>
  <si>
    <t>Virk (2021)</t>
  </si>
  <si>
    <t>How is the risk of being diagnosed with referable diabetic retinopathy affected by failure to attend diabetes eye screening appointments?</t>
  </si>
  <si>
    <t>Wadge (2015)</t>
  </si>
  <si>
    <t>Perceived ethical acceptability of financial incentives to improve diabetic eye screening attendance.</t>
  </si>
  <si>
    <t>Waqar (2012)</t>
  </si>
  <si>
    <t>Cost implications, deprivation and geodemographic segmentation analysis of non-attenders (DNA) in an established diabetic retinopathy screening programme.</t>
  </si>
  <si>
    <t>Watson (2021)</t>
  </si>
  <si>
    <t>Barriers and facilitators to diabetic retinopathy screening within Australian primary care.</t>
  </si>
  <si>
    <t>Wicik (2022)</t>
  </si>
  <si>
    <t>Rates of diabetic retinopathy screening in pregnant patients with type 1 and type 2 diabetes in a predominantly Indigenous Central Australian population.</t>
  </si>
  <si>
    <t>Wilson (2004)</t>
  </si>
  <si>
    <t>Coverage in screening for diabetic retinopathy according to screening provision: results from a national survey in England and Wales</t>
  </si>
  <si>
    <t>Wolpert (2023)</t>
  </si>
  <si>
    <t>Non-attendance at diabetic retinal screening in Te Tai Tokerau, Northland, Aotearoa New Zealand</t>
  </si>
  <si>
    <t>Wolverson (2023)</t>
  </si>
  <si>
    <t>An eye opener: improving attendance rates of retinopathy screening within the paediatric diabetes clinic</t>
  </si>
  <si>
    <t>Yap (2022)</t>
  </si>
  <si>
    <t>Patients perceptions of artificial intelligence in diabetic eye screening</t>
  </si>
  <si>
    <t>Yashadhana (2020)</t>
  </si>
  <si>
    <t>Trust, culture and communication: determinants of eye health and care among Indigenous people with diabetes in Australia</t>
  </si>
  <si>
    <t>Yeo (2012)</t>
  </si>
  <si>
    <t>Diabetic retinopathy screening: perspectives of people with diabetes, screening intervals and costs of attending screening.</t>
  </si>
  <si>
    <t>Zwarenstein (2014)</t>
  </si>
  <si>
    <t>Printed educational messages aimed at family practitioners fail to increase retinal screening among their patients with diabetes: a pragmatic cluster randomized controlled trial [ISRCTN72772651].</t>
  </si>
  <si>
    <t>y</t>
  </si>
  <si>
    <t>n</t>
  </si>
  <si>
    <t>Created date on OpenAlex</t>
  </si>
  <si>
    <t>OpenAlex ID</t>
  </si>
  <si>
    <t>Short Title</t>
  </si>
  <si>
    <t>No. of cites items</t>
  </si>
  <si>
    <t>No. of cited by items</t>
  </si>
  <si>
    <t>Abstract in record</t>
  </si>
  <si>
    <t>Identified from original DES map searches</t>
  </si>
  <si>
    <t>Briand-Racine (2013)</t>
  </si>
  <si>
    <t>Hirji (2014)</t>
  </si>
  <si>
    <t>Access to a local Digital Diabetic Retinopathy Screening Service</t>
  </si>
  <si>
    <t>Evaluation of the diabetic retinopathy remote screening pilot project among Quebec First Nations</t>
  </si>
  <si>
    <t>EPPIReviewer ID</t>
  </si>
  <si>
    <t>Eligible records included in the final DES map</t>
  </si>
  <si>
    <t>Identified by OpenAlex Boolean Searches (July 2024 and March 2025)</t>
  </si>
  <si>
    <t>TOTALS</t>
  </si>
  <si>
    <t>Characteristics of records on OpenAlex and not identified from PubMed search (citation data checked on 31 July 2024)</t>
  </si>
  <si>
    <t>ID in OA network graph of seeds from PubMed searches (n=117) (either of three options)</t>
  </si>
  <si>
    <t xml:space="preserve">Identfied as present on OpenAlex (12 July 2024) </t>
  </si>
  <si>
    <t>Identified from original PubMed search</t>
  </si>
  <si>
    <t>PubMed ID</t>
  </si>
  <si>
    <t>TOTALS (COUNT "y")</t>
  </si>
  <si>
    <t>Identified from OpenAlex Boolean searches (July 2024)</t>
  </si>
  <si>
    <t>Identified from OpenAlex Boolean searches (March 2025)</t>
  </si>
  <si>
    <t>No. of Related to items (as reported in the interface summary)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</si>
</sst>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14" fontId="1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6"/>
  <sheetViews>
    <sheetView tabSelected="1" topLeftCell="A101" workbookViewId="0">
      <selection activeCell="H136" sqref="H136"/>
    </sheetView>
  </sheetViews>
  <sheetFormatPr defaultColWidth="8.58203125" defaultRowHeight="14" x14ac:dyDescent="0.35"/>
  <cols>
    <col min="1" max="1" width="14.83203125" style="2" customWidth="1"/>
    <col min="2" max="2" width="13.83203125" style="2" customWidth="1"/>
    <col min="3" max="3" width="13.08203125" style="2" customWidth="1"/>
    <col min="4" max="4" width="12.1640625" style="2" customWidth="1"/>
    <col min="5" max="6" width="13.08203125" style="2" customWidth="1"/>
    <col min="7" max="7" width="13.9140625" style="2" customWidth="1"/>
    <col min="8" max="8" width="9.9140625" style="2" customWidth="1"/>
    <col min="9" max="9" width="16" style="2" customWidth="1"/>
    <col min="10" max="10" width="63.25" style="2" customWidth="1"/>
    <col min="11" max="11" width="8.75" style="2" bestFit="1" customWidth="1"/>
    <col min="12" max="16384" width="8.58203125" style="2"/>
  </cols>
  <sheetData>
    <row r="1" spans="1:11" x14ac:dyDescent="0.35">
      <c r="A1" s="1" t="s">
        <v>297</v>
      </c>
    </row>
    <row r="2" spans="1:11" s="6" customFormat="1" ht="52" customHeight="1" x14ac:dyDescent="0.35">
      <c r="A2" s="6" t="s">
        <v>296</v>
      </c>
      <c r="B2" s="6" t="s">
        <v>291</v>
      </c>
      <c r="C2" s="6" t="s">
        <v>302</v>
      </c>
      <c r="D2" s="6" t="s">
        <v>286</v>
      </c>
      <c r="E2" s="6" t="s">
        <v>306</v>
      </c>
      <c r="F2" s="6" t="s">
        <v>307</v>
      </c>
      <c r="G2" s="6" t="s">
        <v>303</v>
      </c>
      <c r="H2" s="6" t="s">
        <v>304</v>
      </c>
      <c r="I2" s="6" t="s">
        <v>0</v>
      </c>
      <c r="J2" s="6" t="s">
        <v>1</v>
      </c>
      <c r="K2" s="6" t="s">
        <v>2</v>
      </c>
    </row>
    <row r="3" spans="1:11" ht="15.5" x14ac:dyDescent="0.35">
      <c r="A3" s="2">
        <v>93509269</v>
      </c>
      <c r="B3" s="2" t="s">
        <v>283</v>
      </c>
      <c r="C3" s="2" t="s">
        <v>283</v>
      </c>
      <c r="D3">
        <v>2803922294</v>
      </c>
      <c r="E3" s="2" t="s">
        <v>283</v>
      </c>
      <c r="F3" s="2" t="s">
        <v>283</v>
      </c>
      <c r="G3" s="2" t="s">
        <v>283</v>
      </c>
      <c r="H3" s="2">
        <v>30851771</v>
      </c>
      <c r="I3" s="2" t="s">
        <v>3</v>
      </c>
      <c r="J3" s="2" t="s">
        <v>4</v>
      </c>
      <c r="K3" s="2" t="s">
        <v>5</v>
      </c>
    </row>
    <row r="4" spans="1:11" ht="15.5" x14ac:dyDescent="0.35">
      <c r="A4" s="2">
        <v>93509555</v>
      </c>
      <c r="B4" s="2" t="s">
        <v>283</v>
      </c>
      <c r="C4" s="2" t="s">
        <v>283</v>
      </c>
      <c r="D4">
        <v>3129169745</v>
      </c>
      <c r="E4" s="2" t="s">
        <v>283</v>
      </c>
      <c r="F4" s="2" t="s">
        <v>283</v>
      </c>
      <c r="G4" s="2" t="s">
        <v>283</v>
      </c>
      <c r="H4" s="2">
        <v>33568201</v>
      </c>
      <c r="I4" s="2" t="s">
        <v>6</v>
      </c>
      <c r="J4" s="2" t="s">
        <v>7</v>
      </c>
      <c r="K4" s="2" t="s">
        <v>8</v>
      </c>
    </row>
    <row r="5" spans="1:11" ht="15.5" x14ac:dyDescent="0.35">
      <c r="A5" s="2">
        <v>93706620</v>
      </c>
      <c r="B5" s="2" t="s">
        <v>283</v>
      </c>
      <c r="C5" s="2" t="s">
        <v>283</v>
      </c>
      <c r="D5">
        <v>2919310303</v>
      </c>
      <c r="E5" s="2" t="s">
        <v>283</v>
      </c>
      <c r="F5" s="2" t="s">
        <v>283</v>
      </c>
      <c r="G5" s="2" t="s">
        <v>284</v>
      </c>
      <c r="I5" s="2" t="s">
        <v>9</v>
      </c>
      <c r="J5" s="2" t="s">
        <v>10</v>
      </c>
      <c r="K5" s="2" t="s">
        <v>5</v>
      </c>
    </row>
    <row r="6" spans="1:11" ht="15.5" x14ac:dyDescent="0.35">
      <c r="A6" s="2">
        <v>93509460</v>
      </c>
      <c r="B6" s="2" t="s">
        <v>283</v>
      </c>
      <c r="C6" s="2" t="s">
        <v>283</v>
      </c>
      <c r="D6">
        <v>2067435056</v>
      </c>
      <c r="E6" s="2" t="s">
        <v>283</v>
      </c>
      <c r="F6" s="2" t="s">
        <v>283</v>
      </c>
      <c r="G6" s="2" t="s">
        <v>283</v>
      </c>
      <c r="H6" s="2">
        <v>12928682</v>
      </c>
      <c r="I6" s="2" t="s">
        <v>11</v>
      </c>
      <c r="J6" s="2" t="s">
        <v>12</v>
      </c>
      <c r="K6" s="2" t="s">
        <v>13</v>
      </c>
    </row>
    <row r="7" spans="1:11" ht="15.5" x14ac:dyDescent="0.35">
      <c r="A7" s="2">
        <v>93509521</v>
      </c>
      <c r="B7" s="2" t="s">
        <v>283</v>
      </c>
      <c r="C7" s="2" t="s">
        <v>283</v>
      </c>
      <c r="D7">
        <v>2103291025</v>
      </c>
      <c r="E7" s="2" t="s">
        <v>283</v>
      </c>
      <c r="F7" s="2" t="s">
        <v>283</v>
      </c>
      <c r="G7" s="2" t="s">
        <v>283</v>
      </c>
      <c r="H7" s="2">
        <v>23544606</v>
      </c>
      <c r="I7" s="2" t="s">
        <v>14</v>
      </c>
      <c r="J7" s="2" t="s">
        <v>15</v>
      </c>
      <c r="K7" s="2" t="s">
        <v>16</v>
      </c>
    </row>
    <row r="8" spans="1:11" ht="15.5" x14ac:dyDescent="0.35">
      <c r="A8" s="2">
        <v>93509376</v>
      </c>
      <c r="B8" s="2" t="s">
        <v>283</v>
      </c>
      <c r="C8" s="2" t="s">
        <v>283</v>
      </c>
      <c r="D8">
        <v>2211342319</v>
      </c>
      <c r="E8" s="2" t="s">
        <v>283</v>
      </c>
      <c r="F8" s="2" t="s">
        <v>283</v>
      </c>
      <c r="G8" s="2" t="s">
        <v>283</v>
      </c>
      <c r="H8" s="2">
        <v>19893789</v>
      </c>
      <c r="I8" s="2" t="s">
        <v>17</v>
      </c>
      <c r="J8" s="2" t="s">
        <v>18</v>
      </c>
      <c r="K8" s="2" t="s">
        <v>19</v>
      </c>
    </row>
    <row r="9" spans="1:11" ht="15.5" x14ac:dyDescent="0.35">
      <c r="A9" s="2">
        <v>93509399</v>
      </c>
      <c r="B9" s="2" t="s">
        <v>283</v>
      </c>
      <c r="C9" s="2" t="s">
        <v>283</v>
      </c>
      <c r="D9">
        <v>4210842964</v>
      </c>
      <c r="E9" s="2" t="s">
        <v>283</v>
      </c>
      <c r="F9" s="2" t="s">
        <v>283</v>
      </c>
      <c r="G9" s="2" t="s">
        <v>283</v>
      </c>
      <c r="H9" s="2">
        <v>35128712</v>
      </c>
      <c r="I9" s="2" t="s">
        <v>20</v>
      </c>
      <c r="J9" s="2" t="s">
        <v>21</v>
      </c>
      <c r="K9" s="2" t="s">
        <v>22</v>
      </c>
    </row>
    <row r="10" spans="1:11" ht="15.5" x14ac:dyDescent="0.35">
      <c r="A10" s="2">
        <v>93509384</v>
      </c>
      <c r="B10" s="2" t="s">
        <v>283</v>
      </c>
      <c r="C10" s="2" t="s">
        <v>283</v>
      </c>
      <c r="D10">
        <v>3108802630</v>
      </c>
      <c r="E10" s="2" t="s">
        <v>283</v>
      </c>
      <c r="F10" s="2" t="s">
        <v>283</v>
      </c>
      <c r="G10" s="2" t="s">
        <v>283</v>
      </c>
      <c r="H10" s="2">
        <v>33232680</v>
      </c>
      <c r="I10" s="2" t="s">
        <v>23</v>
      </c>
      <c r="J10" s="2" t="s">
        <v>24</v>
      </c>
      <c r="K10" s="2" t="s">
        <v>8</v>
      </c>
    </row>
    <row r="11" spans="1:11" ht="15.5" x14ac:dyDescent="0.35">
      <c r="A11" s="2">
        <v>93509231</v>
      </c>
      <c r="B11" s="2" t="s">
        <v>283</v>
      </c>
      <c r="C11" s="2" t="s">
        <v>283</v>
      </c>
      <c r="D11">
        <v>2766812641</v>
      </c>
      <c r="E11" s="2" t="s">
        <v>283</v>
      </c>
      <c r="F11" s="2" t="s">
        <v>283</v>
      </c>
      <c r="G11" s="2" t="s">
        <v>283</v>
      </c>
      <c r="H11" s="2">
        <v>29372943</v>
      </c>
      <c r="I11" s="2" t="s">
        <v>25</v>
      </c>
      <c r="J11" s="2" t="s">
        <v>26</v>
      </c>
      <c r="K11" s="2" t="s">
        <v>27</v>
      </c>
    </row>
    <row r="12" spans="1:11" ht="15.5" x14ac:dyDescent="0.35">
      <c r="A12" s="2">
        <v>93509734</v>
      </c>
      <c r="B12" s="2" t="s">
        <v>283</v>
      </c>
      <c r="C12" s="2" t="s">
        <v>283</v>
      </c>
      <c r="D12">
        <v>2070584107</v>
      </c>
      <c r="E12" s="2" t="s">
        <v>283</v>
      </c>
      <c r="F12" s="2" t="s">
        <v>283</v>
      </c>
      <c r="G12" s="2" t="s">
        <v>283</v>
      </c>
      <c r="H12" s="2">
        <v>19020631</v>
      </c>
      <c r="I12" s="2" t="s">
        <v>28</v>
      </c>
      <c r="J12" s="2" t="s">
        <v>29</v>
      </c>
      <c r="K12" s="2" t="s">
        <v>30</v>
      </c>
    </row>
    <row r="13" spans="1:11" ht="15.5" x14ac:dyDescent="0.35">
      <c r="A13" s="2">
        <v>94497262</v>
      </c>
      <c r="B13" s="2" t="s">
        <v>283</v>
      </c>
      <c r="C13" s="2" t="s">
        <v>283</v>
      </c>
      <c r="D13">
        <v>2059053512</v>
      </c>
      <c r="E13" s="2" t="s">
        <v>283</v>
      </c>
      <c r="F13" s="2" t="s">
        <v>283</v>
      </c>
      <c r="G13" s="2" t="s">
        <v>283</v>
      </c>
      <c r="H13" s="2">
        <v>15975096</v>
      </c>
      <c r="I13" s="2" t="s">
        <v>31</v>
      </c>
      <c r="J13" s="2" t="s">
        <v>32</v>
      </c>
      <c r="K13" s="2" t="s">
        <v>33</v>
      </c>
    </row>
    <row r="14" spans="1:11" ht="15.5" x14ac:dyDescent="0.35">
      <c r="A14" s="2">
        <v>93510987</v>
      </c>
      <c r="B14" s="2" t="s">
        <v>283</v>
      </c>
      <c r="C14" s="2" t="s">
        <v>283</v>
      </c>
      <c r="D14">
        <v>2167035512</v>
      </c>
      <c r="E14" s="2" t="s">
        <v>283</v>
      </c>
      <c r="F14" s="2" t="s">
        <v>283</v>
      </c>
      <c r="G14" s="2" t="s">
        <v>283</v>
      </c>
      <c r="H14" s="2">
        <v>24845073</v>
      </c>
      <c r="I14" s="2" t="s">
        <v>34</v>
      </c>
      <c r="J14" s="2" t="s">
        <v>35</v>
      </c>
      <c r="K14" s="2" t="s">
        <v>36</v>
      </c>
    </row>
    <row r="15" spans="1:11" ht="15.5" x14ac:dyDescent="0.35">
      <c r="A15" s="2">
        <v>94498698</v>
      </c>
      <c r="B15" s="2" t="s">
        <v>283</v>
      </c>
      <c r="C15" s="2" t="s">
        <v>283</v>
      </c>
      <c r="D15">
        <v>3017192035</v>
      </c>
      <c r="E15" s="2" t="s">
        <v>283</v>
      </c>
      <c r="F15" s="2" t="s">
        <v>283</v>
      </c>
      <c r="G15" s="2" t="s">
        <v>283</v>
      </c>
      <c r="H15" s="2">
        <v>32303520</v>
      </c>
      <c r="I15" s="2" t="s">
        <v>37</v>
      </c>
      <c r="J15" s="2" t="s">
        <v>38</v>
      </c>
      <c r="K15" s="2" t="s">
        <v>39</v>
      </c>
    </row>
    <row r="16" spans="1:11" ht="15.5" x14ac:dyDescent="0.35">
      <c r="A16" s="2">
        <v>93509434</v>
      </c>
      <c r="B16" s="2" t="s">
        <v>283</v>
      </c>
      <c r="C16" s="2" t="s">
        <v>283</v>
      </c>
      <c r="D16">
        <v>3160924776</v>
      </c>
      <c r="E16" s="2" t="s">
        <v>283</v>
      </c>
      <c r="F16" s="2" t="s">
        <v>283</v>
      </c>
      <c r="G16" s="2" t="s">
        <v>283</v>
      </c>
      <c r="H16" s="2">
        <v>34144907</v>
      </c>
      <c r="I16" s="2" t="s">
        <v>40</v>
      </c>
      <c r="J16" s="2" t="s">
        <v>41</v>
      </c>
      <c r="K16" s="2" t="s">
        <v>22</v>
      </c>
    </row>
    <row r="17" spans="1:11" ht="15.5" x14ac:dyDescent="0.35">
      <c r="A17" s="2">
        <v>93510511</v>
      </c>
      <c r="B17" s="2" t="s">
        <v>283</v>
      </c>
      <c r="C17" s="2" t="s">
        <v>283</v>
      </c>
      <c r="D17">
        <v>3109008062</v>
      </c>
      <c r="E17" s="2" t="s">
        <v>283</v>
      </c>
      <c r="F17" s="2" t="s">
        <v>283</v>
      </c>
      <c r="G17" s="2" t="s">
        <v>283</v>
      </c>
      <c r="H17" s="2">
        <v>33391946</v>
      </c>
      <c r="I17" s="2" t="s">
        <v>42</v>
      </c>
      <c r="J17" s="2" t="s">
        <v>43</v>
      </c>
      <c r="K17" s="2" t="s">
        <v>39</v>
      </c>
    </row>
    <row r="18" spans="1:11" ht="15.5" x14ac:dyDescent="0.35">
      <c r="A18" s="2">
        <v>93510504</v>
      </c>
      <c r="B18" s="2" t="s">
        <v>283</v>
      </c>
      <c r="C18" s="2" t="s">
        <v>283</v>
      </c>
      <c r="D18">
        <v>2328489735</v>
      </c>
      <c r="E18" s="2" t="s">
        <v>283</v>
      </c>
      <c r="F18" s="2" t="s">
        <v>283</v>
      </c>
      <c r="G18" s="2" t="s">
        <v>283</v>
      </c>
      <c r="H18" s="2">
        <v>27280120</v>
      </c>
      <c r="I18" s="2" t="s">
        <v>44</v>
      </c>
      <c r="J18" s="2" t="s">
        <v>45</v>
      </c>
      <c r="K18" s="2" t="s">
        <v>46</v>
      </c>
    </row>
    <row r="19" spans="1:11" ht="15.5" x14ac:dyDescent="0.35">
      <c r="A19" s="2">
        <v>93509590</v>
      </c>
      <c r="B19" s="2" t="s">
        <v>283</v>
      </c>
      <c r="C19" s="2" t="s">
        <v>283</v>
      </c>
      <c r="D19">
        <v>2137297224</v>
      </c>
      <c r="E19" s="2" t="s">
        <v>283</v>
      </c>
      <c r="F19" s="2" t="s">
        <v>283</v>
      </c>
      <c r="G19" s="2" t="s">
        <v>283</v>
      </c>
      <c r="H19" s="2">
        <v>26798655</v>
      </c>
      <c r="I19" s="2" t="s">
        <v>47</v>
      </c>
      <c r="J19" s="2" t="s">
        <v>48</v>
      </c>
      <c r="K19" s="2" t="s">
        <v>46</v>
      </c>
    </row>
    <row r="20" spans="1:11" ht="15.5" x14ac:dyDescent="0.35">
      <c r="A20" s="2">
        <v>93509332</v>
      </c>
      <c r="B20" s="2" t="s">
        <v>283</v>
      </c>
      <c r="C20" s="2" t="s">
        <v>283</v>
      </c>
      <c r="D20">
        <v>2768572445</v>
      </c>
      <c r="E20" s="2" t="s">
        <v>283</v>
      </c>
      <c r="F20" s="2" t="s">
        <v>283</v>
      </c>
      <c r="G20" s="2" t="s">
        <v>283</v>
      </c>
      <c r="H20" s="2">
        <v>28697298</v>
      </c>
      <c r="I20" s="2" t="s">
        <v>49</v>
      </c>
      <c r="J20" s="2" t="s">
        <v>50</v>
      </c>
      <c r="K20" s="2" t="s">
        <v>27</v>
      </c>
    </row>
    <row r="21" spans="1:11" ht="15.5" x14ac:dyDescent="0.35">
      <c r="A21" s="2">
        <v>94498871</v>
      </c>
      <c r="B21" s="2" t="s">
        <v>283</v>
      </c>
      <c r="C21" s="2" t="s">
        <v>283</v>
      </c>
      <c r="D21">
        <v>3201055785</v>
      </c>
      <c r="E21" s="2" t="s">
        <v>283</v>
      </c>
      <c r="F21" s="2" t="s">
        <v>283</v>
      </c>
      <c r="G21" s="2" t="s">
        <v>284</v>
      </c>
      <c r="I21" s="2" t="s">
        <v>51</v>
      </c>
      <c r="J21" s="2" t="s">
        <v>52</v>
      </c>
      <c r="K21" s="2" t="s">
        <v>8</v>
      </c>
    </row>
    <row r="22" spans="1:11" ht="15.5" x14ac:dyDescent="0.35">
      <c r="A22" s="2">
        <v>93509260</v>
      </c>
      <c r="B22" s="2" t="s">
        <v>283</v>
      </c>
      <c r="C22" s="2" t="s">
        <v>283</v>
      </c>
      <c r="D22">
        <v>4281401710</v>
      </c>
      <c r="E22" s="2" t="s">
        <v>283</v>
      </c>
      <c r="F22" s="2" t="s">
        <v>283</v>
      </c>
      <c r="G22" s="2" t="s">
        <v>283</v>
      </c>
      <c r="H22" s="2">
        <v>36245648</v>
      </c>
      <c r="I22" s="2" t="s">
        <v>53</v>
      </c>
      <c r="J22" s="2" t="s">
        <v>54</v>
      </c>
      <c r="K22" s="2" t="s">
        <v>22</v>
      </c>
    </row>
    <row r="23" spans="1:11" ht="15.5" x14ac:dyDescent="0.35">
      <c r="A23" s="2">
        <v>93509458</v>
      </c>
      <c r="B23" s="2" t="s">
        <v>283</v>
      </c>
      <c r="C23" s="2" t="s">
        <v>283</v>
      </c>
      <c r="D23">
        <v>2068330450</v>
      </c>
      <c r="E23" s="2" t="s">
        <v>283</v>
      </c>
      <c r="F23" s="2" t="s">
        <v>283</v>
      </c>
      <c r="G23" s="2" t="s">
        <v>283</v>
      </c>
      <c r="H23" s="2">
        <v>18641918</v>
      </c>
      <c r="I23" s="2" t="s">
        <v>55</v>
      </c>
      <c r="J23" s="2" t="s">
        <v>56</v>
      </c>
      <c r="K23" s="2" t="s">
        <v>30</v>
      </c>
    </row>
    <row r="24" spans="1:11" ht="15.5" x14ac:dyDescent="0.35">
      <c r="A24" s="2">
        <v>93509316</v>
      </c>
      <c r="B24" s="2" t="s">
        <v>283</v>
      </c>
      <c r="C24" s="2" t="s">
        <v>283</v>
      </c>
      <c r="D24">
        <v>2888738728</v>
      </c>
      <c r="E24" s="2" t="s">
        <v>283</v>
      </c>
      <c r="F24" s="2" t="s">
        <v>283</v>
      </c>
      <c r="G24" s="2" t="s">
        <v>283</v>
      </c>
      <c r="H24" s="2">
        <v>30975344</v>
      </c>
      <c r="I24" s="2" t="s">
        <v>57</v>
      </c>
      <c r="J24" s="2" t="s">
        <v>58</v>
      </c>
      <c r="K24" s="2" t="s">
        <v>5</v>
      </c>
    </row>
    <row r="25" spans="1:11" ht="15.5" x14ac:dyDescent="0.35">
      <c r="A25" s="2">
        <v>93511073</v>
      </c>
      <c r="B25" s="2" t="s">
        <v>283</v>
      </c>
      <c r="C25" s="2" t="s">
        <v>283</v>
      </c>
      <c r="D25">
        <v>4280598166</v>
      </c>
      <c r="E25" s="2" t="s">
        <v>283</v>
      </c>
      <c r="F25" s="2" t="s">
        <v>284</v>
      </c>
      <c r="G25" s="2" t="s">
        <v>283</v>
      </c>
      <c r="H25" s="2">
        <v>35577027</v>
      </c>
      <c r="I25" s="2" t="s">
        <v>59</v>
      </c>
      <c r="J25" s="2" t="s">
        <v>60</v>
      </c>
      <c r="K25" s="2" t="s">
        <v>61</v>
      </c>
    </row>
    <row r="26" spans="1:11" ht="15.5" x14ac:dyDescent="0.35">
      <c r="A26" s="2">
        <v>93511220</v>
      </c>
      <c r="B26" s="2" t="s">
        <v>283</v>
      </c>
      <c r="C26" s="2" t="s">
        <v>283</v>
      </c>
      <c r="D26">
        <v>3211243369</v>
      </c>
      <c r="E26" s="2" t="s">
        <v>283</v>
      </c>
      <c r="F26" s="2" t="s">
        <v>283</v>
      </c>
      <c r="G26" s="2" t="s">
        <v>283</v>
      </c>
      <c r="H26" s="2">
        <v>34692991</v>
      </c>
      <c r="I26" s="2" t="s">
        <v>62</v>
      </c>
      <c r="J26" s="2" t="s">
        <v>63</v>
      </c>
      <c r="K26" s="2" t="s">
        <v>8</v>
      </c>
    </row>
    <row r="27" spans="1:11" ht="15.5" x14ac:dyDescent="0.35">
      <c r="A27" s="2">
        <v>93509338</v>
      </c>
      <c r="B27" s="2" t="s">
        <v>283</v>
      </c>
      <c r="C27" s="2" t="s">
        <v>283</v>
      </c>
      <c r="D27">
        <v>2612667187</v>
      </c>
      <c r="E27" s="2" t="s">
        <v>283</v>
      </c>
      <c r="F27" s="2" t="s">
        <v>283</v>
      </c>
      <c r="G27" s="2" t="s">
        <v>283</v>
      </c>
      <c r="H27" s="2">
        <v>28490306</v>
      </c>
      <c r="I27" s="2" t="s">
        <v>64</v>
      </c>
      <c r="J27" s="2" t="s">
        <v>65</v>
      </c>
      <c r="K27" s="2" t="s">
        <v>27</v>
      </c>
    </row>
    <row r="28" spans="1:11" ht="15.5" x14ac:dyDescent="0.35">
      <c r="A28" s="2">
        <v>93509535</v>
      </c>
      <c r="B28" s="2" t="s">
        <v>283</v>
      </c>
      <c r="C28" s="2" t="s">
        <v>283</v>
      </c>
      <c r="D28">
        <v>2068942383</v>
      </c>
      <c r="E28" s="2" t="s">
        <v>283</v>
      </c>
      <c r="F28" s="2" t="s">
        <v>283</v>
      </c>
      <c r="G28" s="2" t="s">
        <v>283</v>
      </c>
      <c r="H28" s="2">
        <v>23793717</v>
      </c>
      <c r="I28" s="2" t="s">
        <v>66</v>
      </c>
      <c r="J28" s="2" t="s">
        <v>67</v>
      </c>
      <c r="K28" s="2" t="s">
        <v>16</v>
      </c>
    </row>
    <row r="29" spans="1:11" ht="15.5" x14ac:dyDescent="0.35">
      <c r="A29" s="2">
        <v>94497614</v>
      </c>
      <c r="B29" s="2" t="s">
        <v>283</v>
      </c>
      <c r="C29" s="2" t="s">
        <v>283</v>
      </c>
      <c r="D29">
        <v>1531291820</v>
      </c>
      <c r="E29" s="2" t="s">
        <v>283</v>
      </c>
      <c r="F29" s="2" t="s">
        <v>283</v>
      </c>
      <c r="G29" s="2" t="s">
        <v>284</v>
      </c>
      <c r="I29" s="2" t="s">
        <v>68</v>
      </c>
      <c r="J29" s="2" t="s">
        <v>69</v>
      </c>
      <c r="K29" s="2" t="s">
        <v>70</v>
      </c>
    </row>
    <row r="30" spans="1:11" ht="15.5" x14ac:dyDescent="0.35">
      <c r="A30" s="2">
        <v>93509584</v>
      </c>
      <c r="B30" s="2" t="s">
        <v>283</v>
      </c>
      <c r="C30" s="2" t="s">
        <v>283</v>
      </c>
      <c r="D30">
        <v>2405119914</v>
      </c>
      <c r="E30" s="2" t="s">
        <v>283</v>
      </c>
      <c r="F30" s="2" t="s">
        <v>283</v>
      </c>
      <c r="G30" s="2" t="s">
        <v>283</v>
      </c>
      <c r="H30" s="2">
        <v>18364752</v>
      </c>
      <c r="I30" s="2" t="s">
        <v>71</v>
      </c>
      <c r="J30" s="2" t="s">
        <v>72</v>
      </c>
      <c r="K30" s="2" t="s">
        <v>30</v>
      </c>
    </row>
    <row r="31" spans="1:11" ht="15.5" x14ac:dyDescent="0.35">
      <c r="A31" s="2">
        <v>93509646</v>
      </c>
      <c r="B31" s="2" t="s">
        <v>283</v>
      </c>
      <c r="C31" s="2" t="s">
        <v>283</v>
      </c>
      <c r="D31">
        <v>2012244609</v>
      </c>
      <c r="E31" s="2" t="s">
        <v>283</v>
      </c>
      <c r="F31" s="2" t="s">
        <v>283</v>
      </c>
      <c r="G31" s="2" t="s">
        <v>283</v>
      </c>
      <c r="H31" s="2">
        <v>15384952</v>
      </c>
      <c r="I31" s="2" t="s">
        <v>73</v>
      </c>
      <c r="J31" s="2" t="s">
        <v>74</v>
      </c>
      <c r="K31" s="2" t="s">
        <v>75</v>
      </c>
    </row>
    <row r="32" spans="1:11" ht="15.5" x14ac:dyDescent="0.35">
      <c r="A32" s="2">
        <v>93509353</v>
      </c>
      <c r="B32" s="2" t="s">
        <v>283</v>
      </c>
      <c r="C32" s="2" t="s">
        <v>283</v>
      </c>
      <c r="D32">
        <v>2164665650</v>
      </c>
      <c r="E32" s="2" t="s">
        <v>283</v>
      </c>
      <c r="F32" s="2" t="s">
        <v>283</v>
      </c>
      <c r="G32" s="2" t="s">
        <v>283</v>
      </c>
      <c r="H32" s="2">
        <v>26798648</v>
      </c>
      <c r="I32" s="2" t="s">
        <v>76</v>
      </c>
      <c r="J32" s="2" t="s">
        <v>77</v>
      </c>
      <c r="K32" s="2" t="s">
        <v>46</v>
      </c>
    </row>
    <row r="33" spans="1:11" ht="15.5" x14ac:dyDescent="0.35">
      <c r="A33" s="2">
        <v>93509658</v>
      </c>
      <c r="B33" s="2" t="s">
        <v>283</v>
      </c>
      <c r="C33" s="2" t="s">
        <v>283</v>
      </c>
      <c r="D33">
        <v>2591232282</v>
      </c>
      <c r="E33" s="2" t="s">
        <v>283</v>
      </c>
      <c r="F33" s="2" t="s">
        <v>283</v>
      </c>
      <c r="G33" s="2" t="s">
        <v>283</v>
      </c>
      <c r="H33" s="2">
        <v>28222770</v>
      </c>
      <c r="I33" s="2" t="s">
        <v>78</v>
      </c>
      <c r="J33" s="2" t="s">
        <v>79</v>
      </c>
      <c r="K33" s="2" t="s">
        <v>27</v>
      </c>
    </row>
    <row r="34" spans="1:11" ht="15.5" x14ac:dyDescent="0.35">
      <c r="A34" s="2">
        <v>94497917</v>
      </c>
      <c r="B34" s="2" t="s">
        <v>283</v>
      </c>
      <c r="C34" s="2" t="s">
        <v>283</v>
      </c>
      <c r="D34">
        <v>2342926115</v>
      </c>
      <c r="E34" s="2" t="s">
        <v>283</v>
      </c>
      <c r="F34" s="2" t="s">
        <v>283</v>
      </c>
      <c r="G34" s="2" t="s">
        <v>283</v>
      </c>
      <c r="H34" s="2">
        <v>25098442</v>
      </c>
      <c r="I34" s="2" t="s">
        <v>80</v>
      </c>
      <c r="J34" s="2" t="s">
        <v>81</v>
      </c>
      <c r="K34" s="2" t="s">
        <v>36</v>
      </c>
    </row>
    <row r="35" spans="1:11" ht="15.5" x14ac:dyDescent="0.35">
      <c r="A35" s="2">
        <v>93509363</v>
      </c>
      <c r="B35" s="2" t="s">
        <v>283</v>
      </c>
      <c r="C35" s="2" t="s">
        <v>283</v>
      </c>
      <c r="D35">
        <v>2169948307</v>
      </c>
      <c r="E35" s="2" t="s">
        <v>283</v>
      </c>
      <c r="F35" s="2" t="s">
        <v>283</v>
      </c>
      <c r="G35" s="2" t="s">
        <v>283</v>
      </c>
      <c r="H35" s="2">
        <v>20536490</v>
      </c>
      <c r="I35" s="2" t="s">
        <v>82</v>
      </c>
      <c r="J35" s="2" t="s">
        <v>83</v>
      </c>
      <c r="K35" s="2" t="s">
        <v>84</v>
      </c>
    </row>
    <row r="36" spans="1:11" ht="15.5" x14ac:dyDescent="0.35">
      <c r="A36" s="2">
        <v>93509907</v>
      </c>
      <c r="B36" s="2" t="s">
        <v>283</v>
      </c>
      <c r="C36" s="2" t="s">
        <v>283</v>
      </c>
      <c r="D36">
        <v>4297977795</v>
      </c>
      <c r="E36" s="2" t="s">
        <v>283</v>
      </c>
      <c r="F36" s="2" t="s">
        <v>283</v>
      </c>
      <c r="G36" s="2" t="s">
        <v>283</v>
      </c>
      <c r="H36" s="2">
        <v>36178842</v>
      </c>
      <c r="I36" s="2" t="s">
        <v>85</v>
      </c>
      <c r="J36" s="2" t="s">
        <v>86</v>
      </c>
      <c r="K36" s="2" t="s">
        <v>22</v>
      </c>
    </row>
    <row r="37" spans="1:11" ht="15.5" x14ac:dyDescent="0.35">
      <c r="A37" s="2">
        <v>94497322</v>
      </c>
      <c r="B37" s="2" t="s">
        <v>283</v>
      </c>
      <c r="C37" s="2" t="s">
        <v>283</v>
      </c>
      <c r="D37">
        <v>2119369454</v>
      </c>
      <c r="E37" s="2" t="s">
        <v>283</v>
      </c>
      <c r="F37" s="2" t="s">
        <v>283</v>
      </c>
      <c r="G37" s="2" t="s">
        <v>283</v>
      </c>
      <c r="H37" s="2">
        <v>16792832</v>
      </c>
      <c r="I37" s="2" t="s">
        <v>87</v>
      </c>
      <c r="J37" s="2" t="s">
        <v>88</v>
      </c>
      <c r="K37" s="2" t="s">
        <v>89</v>
      </c>
    </row>
    <row r="38" spans="1:11" x14ac:dyDescent="0.35">
      <c r="A38" s="2">
        <v>94497704</v>
      </c>
      <c r="B38" s="2" t="s">
        <v>283</v>
      </c>
      <c r="C38" s="2" t="s">
        <v>284</v>
      </c>
      <c r="E38" s="2" t="s">
        <v>284</v>
      </c>
      <c r="F38" s="2" t="s">
        <v>284</v>
      </c>
      <c r="G38" s="2" t="s">
        <v>284</v>
      </c>
      <c r="I38" s="2" t="s">
        <v>90</v>
      </c>
      <c r="J38" s="2" t="s">
        <v>91</v>
      </c>
      <c r="K38" s="2" t="s">
        <v>92</v>
      </c>
    </row>
    <row r="39" spans="1:11" ht="15.5" x14ac:dyDescent="0.35">
      <c r="A39" s="2">
        <v>93509626</v>
      </c>
      <c r="B39" s="2" t="s">
        <v>283</v>
      </c>
      <c r="C39" s="2" t="s">
        <v>283</v>
      </c>
      <c r="D39">
        <v>2150736691</v>
      </c>
      <c r="E39" s="2" t="s">
        <v>283</v>
      </c>
      <c r="F39" s="2" t="s">
        <v>283</v>
      </c>
      <c r="G39" s="2" t="s">
        <v>283</v>
      </c>
      <c r="H39" s="2">
        <v>25510885</v>
      </c>
      <c r="I39" s="2" t="s">
        <v>93</v>
      </c>
      <c r="J39" s="2" t="s">
        <v>94</v>
      </c>
      <c r="K39" s="2" t="s">
        <v>36</v>
      </c>
    </row>
    <row r="40" spans="1:11" ht="15.5" x14ac:dyDescent="0.35">
      <c r="A40" s="2">
        <v>94496935</v>
      </c>
      <c r="B40" s="2" t="s">
        <v>283</v>
      </c>
      <c r="C40" s="2" t="s">
        <v>283</v>
      </c>
      <c r="D40">
        <v>102211962</v>
      </c>
      <c r="E40" s="2" t="s">
        <v>283</v>
      </c>
      <c r="F40" s="2" t="s">
        <v>283</v>
      </c>
      <c r="G40" s="2" t="s">
        <v>284</v>
      </c>
      <c r="I40" s="2" t="s">
        <v>95</v>
      </c>
      <c r="J40" s="2" t="s">
        <v>96</v>
      </c>
      <c r="K40" s="2" t="s">
        <v>89</v>
      </c>
    </row>
    <row r="41" spans="1:11" ht="15.5" x14ac:dyDescent="0.35">
      <c r="A41" s="2">
        <v>93509947</v>
      </c>
      <c r="B41" s="2" t="s">
        <v>283</v>
      </c>
      <c r="C41" s="2" t="s">
        <v>283</v>
      </c>
      <c r="D41">
        <v>1974257011</v>
      </c>
      <c r="E41" s="2" t="s">
        <v>283</v>
      </c>
      <c r="F41" s="2" t="s">
        <v>284</v>
      </c>
      <c r="G41" s="2" t="s">
        <v>283</v>
      </c>
      <c r="H41" s="2">
        <v>25863851</v>
      </c>
      <c r="I41" s="2" t="s">
        <v>97</v>
      </c>
      <c r="J41" s="2" t="s">
        <v>98</v>
      </c>
      <c r="K41" s="2" t="s">
        <v>99</v>
      </c>
    </row>
    <row r="42" spans="1:11" ht="15.5" x14ac:dyDescent="0.35">
      <c r="A42" s="2">
        <v>93509815</v>
      </c>
      <c r="B42" s="2" t="s">
        <v>283</v>
      </c>
      <c r="C42" s="2" t="s">
        <v>283</v>
      </c>
      <c r="D42">
        <v>2590463259</v>
      </c>
      <c r="E42" s="2" t="s">
        <v>283</v>
      </c>
      <c r="F42" s="2" t="s">
        <v>283</v>
      </c>
      <c r="G42" s="2" t="s">
        <v>283</v>
      </c>
      <c r="H42" s="2">
        <v>28391137</v>
      </c>
      <c r="I42" s="2" t="s">
        <v>100</v>
      </c>
      <c r="J42" s="2" t="s">
        <v>101</v>
      </c>
      <c r="K42" s="2" t="s">
        <v>27</v>
      </c>
    </row>
    <row r="43" spans="1:11" ht="15.5" x14ac:dyDescent="0.35">
      <c r="A43" s="2">
        <v>93509289</v>
      </c>
      <c r="B43" s="2" t="s">
        <v>283</v>
      </c>
      <c r="C43" s="2" t="s">
        <v>283</v>
      </c>
      <c r="D43">
        <v>2953951961</v>
      </c>
      <c r="E43" s="2" t="s">
        <v>283</v>
      </c>
      <c r="F43" s="2" t="s">
        <v>283</v>
      </c>
      <c r="G43" s="2" t="s">
        <v>283</v>
      </c>
      <c r="H43" s="2">
        <v>31270908</v>
      </c>
      <c r="I43" s="2" t="s">
        <v>102</v>
      </c>
      <c r="J43" s="2" t="s">
        <v>103</v>
      </c>
      <c r="K43" s="2" t="s">
        <v>5</v>
      </c>
    </row>
    <row r="44" spans="1:11" ht="15.5" x14ac:dyDescent="0.35">
      <c r="A44" s="2">
        <v>93509621</v>
      </c>
      <c r="B44" s="2" t="s">
        <v>283</v>
      </c>
      <c r="C44" s="2" t="s">
        <v>283</v>
      </c>
      <c r="D44">
        <v>1979832181</v>
      </c>
      <c r="E44" s="2" t="s">
        <v>283</v>
      </c>
      <c r="F44" s="2" t="s">
        <v>283</v>
      </c>
      <c r="G44" s="2" t="s">
        <v>283</v>
      </c>
      <c r="H44" s="2">
        <v>25595828</v>
      </c>
      <c r="I44" s="2" t="s">
        <v>104</v>
      </c>
      <c r="J44" s="2" t="s">
        <v>105</v>
      </c>
      <c r="K44" s="2" t="s">
        <v>46</v>
      </c>
    </row>
    <row r="45" spans="1:11" ht="15.5" x14ac:dyDescent="0.35">
      <c r="A45" s="2">
        <v>93509569</v>
      </c>
      <c r="B45" s="2" t="s">
        <v>283</v>
      </c>
      <c r="C45" s="2" t="s">
        <v>283</v>
      </c>
      <c r="D45">
        <v>3197871327</v>
      </c>
      <c r="E45" s="2" t="s">
        <v>283</v>
      </c>
      <c r="F45" s="2" t="s">
        <v>283</v>
      </c>
      <c r="G45" s="2" t="s">
        <v>283</v>
      </c>
      <c r="H45" s="2">
        <v>34493494</v>
      </c>
      <c r="I45" s="2" t="s">
        <v>106</v>
      </c>
      <c r="J45" s="2" t="s">
        <v>107</v>
      </c>
      <c r="K45" s="2" t="s">
        <v>8</v>
      </c>
    </row>
    <row r="46" spans="1:11" ht="15.5" x14ac:dyDescent="0.35">
      <c r="A46" s="2">
        <v>94498439</v>
      </c>
      <c r="B46" s="2" t="s">
        <v>283</v>
      </c>
      <c r="C46" s="2" t="s">
        <v>283</v>
      </c>
      <c r="D46">
        <v>2803635223</v>
      </c>
      <c r="E46" s="2" t="s">
        <v>283</v>
      </c>
      <c r="F46" s="2" t="s">
        <v>283</v>
      </c>
      <c r="G46" s="2" t="s">
        <v>283</v>
      </c>
      <c r="H46" s="2">
        <v>29793929</v>
      </c>
      <c r="I46" s="2" t="s">
        <v>108</v>
      </c>
      <c r="J46" s="2" t="s">
        <v>109</v>
      </c>
      <c r="K46" s="2" t="s">
        <v>110</v>
      </c>
    </row>
    <row r="47" spans="1:11" ht="15.5" x14ac:dyDescent="0.35">
      <c r="A47" s="2">
        <v>93700075</v>
      </c>
      <c r="B47" s="2" t="s">
        <v>283</v>
      </c>
      <c r="C47" s="2" t="s">
        <v>283</v>
      </c>
      <c r="D47">
        <v>4242938226</v>
      </c>
      <c r="E47" s="2" t="s">
        <v>283</v>
      </c>
      <c r="F47" s="2" t="s">
        <v>283</v>
      </c>
      <c r="G47" s="2" t="s">
        <v>283</v>
      </c>
      <c r="H47" s="2">
        <v>27938959</v>
      </c>
      <c r="I47" s="2" t="s">
        <v>111</v>
      </c>
      <c r="J47" s="2" t="s">
        <v>112</v>
      </c>
      <c r="K47" s="2" t="s">
        <v>27</v>
      </c>
    </row>
    <row r="48" spans="1:11" ht="15.5" x14ac:dyDescent="0.35">
      <c r="A48" s="2">
        <v>93509689</v>
      </c>
      <c r="B48" s="2" t="s">
        <v>283</v>
      </c>
      <c r="C48" s="2" t="s">
        <v>283</v>
      </c>
      <c r="D48">
        <v>1983180255</v>
      </c>
      <c r="E48" s="2" t="s">
        <v>283</v>
      </c>
      <c r="F48" s="2" t="s">
        <v>283</v>
      </c>
      <c r="G48" s="2" t="s">
        <v>283</v>
      </c>
      <c r="H48" s="2">
        <v>15526931</v>
      </c>
      <c r="I48" s="2" t="s">
        <v>113</v>
      </c>
      <c r="J48" s="2" t="s">
        <v>114</v>
      </c>
      <c r="K48" s="2" t="s">
        <v>75</v>
      </c>
    </row>
    <row r="49" spans="1:11" ht="15.5" x14ac:dyDescent="0.35">
      <c r="A49" s="2">
        <v>93509427</v>
      </c>
      <c r="B49" s="2" t="s">
        <v>283</v>
      </c>
      <c r="C49" s="2" t="s">
        <v>283</v>
      </c>
      <c r="D49">
        <v>3122025734</v>
      </c>
      <c r="E49" s="2" t="s">
        <v>283</v>
      </c>
      <c r="F49" s="2" t="s">
        <v>283</v>
      </c>
      <c r="G49" s="2" t="s">
        <v>283</v>
      </c>
      <c r="H49" s="2">
        <v>33483856</v>
      </c>
      <c r="I49" s="2" t="s">
        <v>115</v>
      </c>
      <c r="J49" s="2" t="s">
        <v>116</v>
      </c>
      <c r="K49" s="2" t="s">
        <v>8</v>
      </c>
    </row>
    <row r="50" spans="1:11" ht="15.5" x14ac:dyDescent="0.35">
      <c r="A50" s="2">
        <v>93509467</v>
      </c>
      <c r="B50" s="2" t="s">
        <v>283</v>
      </c>
      <c r="C50" s="2" t="s">
        <v>283</v>
      </c>
      <c r="D50">
        <v>3194571354</v>
      </c>
      <c r="E50" s="2" t="s">
        <v>283</v>
      </c>
      <c r="F50" s="2" t="s">
        <v>283</v>
      </c>
      <c r="G50" s="2" t="s">
        <v>283</v>
      </c>
      <c r="H50" s="2">
        <v>34408028</v>
      </c>
      <c r="I50" s="2" t="s">
        <v>117</v>
      </c>
      <c r="J50" s="2" t="s">
        <v>118</v>
      </c>
      <c r="K50" s="2" t="s">
        <v>8</v>
      </c>
    </row>
    <row r="51" spans="1:11" ht="15.5" x14ac:dyDescent="0.35">
      <c r="A51" s="2">
        <v>93510462</v>
      </c>
      <c r="B51" s="2" t="s">
        <v>283</v>
      </c>
      <c r="C51" s="2" t="s">
        <v>283</v>
      </c>
      <c r="D51">
        <v>2129706953</v>
      </c>
      <c r="E51" s="2" t="s">
        <v>283</v>
      </c>
      <c r="F51" s="2" t="s">
        <v>283</v>
      </c>
      <c r="G51" s="2" t="s">
        <v>283</v>
      </c>
      <c r="H51" s="2">
        <v>25705814</v>
      </c>
      <c r="I51" s="2" t="s">
        <v>119</v>
      </c>
      <c r="J51" s="2" t="s">
        <v>120</v>
      </c>
      <c r="K51" s="2" t="s">
        <v>99</v>
      </c>
    </row>
    <row r="52" spans="1:11" ht="15.5" x14ac:dyDescent="0.35">
      <c r="A52" s="2">
        <v>93509667</v>
      </c>
      <c r="B52" s="2" t="s">
        <v>283</v>
      </c>
      <c r="C52" s="2" t="s">
        <v>283</v>
      </c>
      <c r="D52">
        <v>2127888591</v>
      </c>
      <c r="E52" s="2" t="s">
        <v>283</v>
      </c>
      <c r="F52" s="2" t="s">
        <v>283</v>
      </c>
      <c r="G52" s="2" t="s">
        <v>283</v>
      </c>
      <c r="H52" s="2">
        <v>23296581</v>
      </c>
      <c r="I52" s="2" t="s">
        <v>121</v>
      </c>
      <c r="J52" s="2" t="s">
        <v>122</v>
      </c>
      <c r="K52" s="2" t="s">
        <v>16</v>
      </c>
    </row>
    <row r="53" spans="1:11" ht="15.5" x14ac:dyDescent="0.35">
      <c r="A53" s="2">
        <v>93509446</v>
      </c>
      <c r="B53" s="2" t="s">
        <v>283</v>
      </c>
      <c r="C53" s="2" t="s">
        <v>283</v>
      </c>
      <c r="D53">
        <v>2081374068</v>
      </c>
      <c r="E53" s="2" t="s">
        <v>283</v>
      </c>
      <c r="F53" s="2" t="s">
        <v>283</v>
      </c>
      <c r="G53" s="2" t="s">
        <v>283</v>
      </c>
      <c r="H53" s="2">
        <v>16254596</v>
      </c>
      <c r="I53" s="2" t="s">
        <v>123</v>
      </c>
      <c r="J53" s="2" t="s">
        <v>124</v>
      </c>
      <c r="K53" s="2" t="s">
        <v>89</v>
      </c>
    </row>
    <row r="54" spans="1:11" x14ac:dyDescent="0.35">
      <c r="A54" s="2">
        <v>94499085</v>
      </c>
      <c r="B54" s="2" t="s">
        <v>283</v>
      </c>
      <c r="C54" s="4" t="s">
        <v>284</v>
      </c>
      <c r="E54" s="2" t="s">
        <v>284</v>
      </c>
      <c r="F54" s="2" t="s">
        <v>284</v>
      </c>
      <c r="G54" s="2" t="s">
        <v>284</v>
      </c>
      <c r="I54" s="2" t="s">
        <v>125</v>
      </c>
      <c r="J54" s="2" t="s">
        <v>126</v>
      </c>
      <c r="K54" s="2" t="s">
        <v>22</v>
      </c>
    </row>
    <row r="55" spans="1:11" ht="15.5" x14ac:dyDescent="0.35">
      <c r="A55" s="2">
        <v>93509544</v>
      </c>
      <c r="B55" s="2" t="s">
        <v>283</v>
      </c>
      <c r="C55" s="2" t="s">
        <v>283</v>
      </c>
      <c r="D55">
        <v>2600233120</v>
      </c>
      <c r="E55" s="2" t="s">
        <v>283</v>
      </c>
      <c r="F55" s="2" t="s">
        <v>283</v>
      </c>
      <c r="G55" s="2" t="s">
        <v>283</v>
      </c>
      <c r="H55" s="2">
        <v>28363730</v>
      </c>
      <c r="I55" s="2" t="s">
        <v>127</v>
      </c>
      <c r="J55" s="2" t="s">
        <v>128</v>
      </c>
      <c r="K55" s="2" t="s">
        <v>27</v>
      </c>
    </row>
    <row r="56" spans="1:11" ht="15.5" x14ac:dyDescent="0.35">
      <c r="A56" s="2">
        <v>94498451</v>
      </c>
      <c r="B56" s="2" t="s">
        <v>283</v>
      </c>
      <c r="C56" s="2" t="s">
        <v>283</v>
      </c>
      <c r="D56">
        <v>2805909107</v>
      </c>
      <c r="E56" s="2" t="s">
        <v>283</v>
      </c>
      <c r="F56" s="2" t="s">
        <v>283</v>
      </c>
      <c r="G56" s="2" t="s">
        <v>283</v>
      </c>
      <c r="H56" s="2">
        <v>29855307</v>
      </c>
      <c r="I56" s="2" t="s">
        <v>129</v>
      </c>
      <c r="J56" s="2" t="s">
        <v>130</v>
      </c>
      <c r="K56" s="2" t="s">
        <v>110</v>
      </c>
    </row>
    <row r="57" spans="1:11" ht="15.5" x14ac:dyDescent="0.35">
      <c r="A57" s="2">
        <v>93509453</v>
      </c>
      <c r="B57" s="2" t="s">
        <v>283</v>
      </c>
      <c r="C57" s="2" t="s">
        <v>283</v>
      </c>
      <c r="D57">
        <v>3011977104</v>
      </c>
      <c r="E57" s="2" t="s">
        <v>283</v>
      </c>
      <c r="F57" s="2" t="s">
        <v>283</v>
      </c>
      <c r="G57" s="2" t="s">
        <v>283</v>
      </c>
      <c r="H57" s="2">
        <v>32122322</v>
      </c>
      <c r="I57" s="2" t="s">
        <v>131</v>
      </c>
      <c r="J57" s="2" t="s">
        <v>132</v>
      </c>
      <c r="K57" s="2" t="s">
        <v>39</v>
      </c>
    </row>
    <row r="58" spans="1:11" ht="15.5" x14ac:dyDescent="0.35">
      <c r="A58" s="2">
        <v>93509524</v>
      </c>
      <c r="B58" s="2" t="s">
        <v>283</v>
      </c>
      <c r="C58" s="2" t="s">
        <v>283</v>
      </c>
      <c r="D58">
        <v>4311283030</v>
      </c>
      <c r="E58" s="2" t="s">
        <v>283</v>
      </c>
      <c r="F58" s="2" t="s">
        <v>283</v>
      </c>
      <c r="G58" s="2" t="s">
        <v>283</v>
      </c>
      <c r="H58" s="2">
        <v>36508572</v>
      </c>
      <c r="I58" s="2" t="s">
        <v>133</v>
      </c>
      <c r="J58" s="2" t="s">
        <v>134</v>
      </c>
      <c r="K58" s="2" t="s">
        <v>61</v>
      </c>
    </row>
    <row r="59" spans="1:11" ht="15.5" x14ac:dyDescent="0.35">
      <c r="A59" s="2">
        <v>93509387</v>
      </c>
      <c r="B59" s="2" t="s">
        <v>283</v>
      </c>
      <c r="C59" s="2" t="s">
        <v>283</v>
      </c>
      <c r="D59">
        <v>3092728347</v>
      </c>
      <c r="E59" s="2" t="s">
        <v>283</v>
      </c>
      <c r="F59" s="2" t="s">
        <v>283</v>
      </c>
      <c r="G59" s="2" t="s">
        <v>283</v>
      </c>
      <c r="H59" s="2">
        <v>33064854</v>
      </c>
      <c r="I59" s="2" t="s">
        <v>135</v>
      </c>
      <c r="J59" s="2" t="s">
        <v>136</v>
      </c>
      <c r="K59" s="2" t="s">
        <v>8</v>
      </c>
    </row>
    <row r="60" spans="1:11" ht="15.5" x14ac:dyDescent="0.35">
      <c r="A60" s="2">
        <v>93509617</v>
      </c>
      <c r="B60" s="2" t="s">
        <v>283</v>
      </c>
      <c r="C60" s="2" t="s">
        <v>283</v>
      </c>
      <c r="D60">
        <v>2903475542</v>
      </c>
      <c r="E60" s="2" t="s">
        <v>283</v>
      </c>
      <c r="F60" s="2" t="s">
        <v>283</v>
      </c>
      <c r="G60" s="2" t="s">
        <v>283</v>
      </c>
      <c r="H60" s="2">
        <v>30504828</v>
      </c>
      <c r="I60" s="2" t="s">
        <v>137</v>
      </c>
      <c r="J60" s="2" t="s">
        <v>138</v>
      </c>
      <c r="K60" s="2" t="s">
        <v>5</v>
      </c>
    </row>
    <row r="61" spans="1:11" ht="15.5" x14ac:dyDescent="0.35">
      <c r="A61" s="2">
        <v>93509455</v>
      </c>
      <c r="B61" s="2" t="s">
        <v>283</v>
      </c>
      <c r="C61" s="2" t="s">
        <v>283</v>
      </c>
      <c r="D61">
        <v>2131424154</v>
      </c>
      <c r="E61" s="2" t="s">
        <v>283</v>
      </c>
      <c r="F61" s="2" t="s">
        <v>283</v>
      </c>
      <c r="G61" s="2" t="s">
        <v>283</v>
      </c>
      <c r="H61" s="2">
        <v>16026382</v>
      </c>
      <c r="I61" s="2" t="s">
        <v>139</v>
      </c>
      <c r="J61" s="2" t="s">
        <v>140</v>
      </c>
      <c r="K61" s="2" t="s">
        <v>33</v>
      </c>
    </row>
    <row r="62" spans="1:11" ht="15.5" x14ac:dyDescent="0.35">
      <c r="A62" s="2">
        <v>94497433</v>
      </c>
      <c r="B62" s="2" t="s">
        <v>283</v>
      </c>
      <c r="C62" s="2" t="s">
        <v>283</v>
      </c>
      <c r="D62">
        <v>2151384865</v>
      </c>
      <c r="E62" s="2" t="s">
        <v>283</v>
      </c>
      <c r="F62" s="2" t="s">
        <v>283</v>
      </c>
      <c r="G62" s="2" t="s">
        <v>283</v>
      </c>
      <c r="H62" s="2">
        <v>18728235</v>
      </c>
      <c r="I62" s="2" t="s">
        <v>141</v>
      </c>
      <c r="J62" s="2" t="s">
        <v>142</v>
      </c>
      <c r="K62" s="2" t="s">
        <v>30</v>
      </c>
    </row>
    <row r="63" spans="1:11" ht="15.5" x14ac:dyDescent="0.35">
      <c r="A63" s="2">
        <v>93509832</v>
      </c>
      <c r="B63" s="2" t="s">
        <v>283</v>
      </c>
      <c r="C63" s="2" t="s">
        <v>283</v>
      </c>
      <c r="D63">
        <v>2035904548</v>
      </c>
      <c r="E63" s="2" t="s">
        <v>283</v>
      </c>
      <c r="F63" s="2" t="s">
        <v>283</v>
      </c>
      <c r="G63" s="2" t="s">
        <v>283</v>
      </c>
      <c r="H63" s="2">
        <v>18161611</v>
      </c>
      <c r="I63" s="2" t="s">
        <v>143</v>
      </c>
      <c r="J63" s="2" t="s">
        <v>144</v>
      </c>
      <c r="K63" s="2" t="s">
        <v>145</v>
      </c>
    </row>
    <row r="64" spans="1:11" ht="15.5" x14ac:dyDescent="0.35">
      <c r="A64" s="2">
        <v>94499090</v>
      </c>
      <c r="B64" s="2" t="s">
        <v>283</v>
      </c>
      <c r="C64" s="2" t="s">
        <v>283</v>
      </c>
      <c r="D64">
        <v>4223469416</v>
      </c>
      <c r="E64" s="2" t="s">
        <v>284</v>
      </c>
      <c r="F64" s="2" t="s">
        <v>284</v>
      </c>
      <c r="G64" s="2" t="s">
        <v>284</v>
      </c>
      <c r="I64" s="2" t="s">
        <v>146</v>
      </c>
      <c r="J64" s="2" t="s">
        <v>147</v>
      </c>
      <c r="K64" s="2" t="s">
        <v>22</v>
      </c>
    </row>
    <row r="65" spans="1:11" ht="15.5" x14ac:dyDescent="0.35">
      <c r="A65" s="2">
        <v>94498026</v>
      </c>
      <c r="B65" s="2" t="s">
        <v>283</v>
      </c>
      <c r="C65" s="2" t="s">
        <v>283</v>
      </c>
      <c r="D65">
        <v>2944051522</v>
      </c>
      <c r="E65" s="2" t="s">
        <v>283</v>
      </c>
      <c r="F65" s="2" t="s">
        <v>283</v>
      </c>
      <c r="G65" s="2" t="s">
        <v>284</v>
      </c>
      <c r="I65" s="2" t="s">
        <v>148</v>
      </c>
      <c r="J65" s="2" t="s">
        <v>149</v>
      </c>
      <c r="K65" s="2" t="s">
        <v>99</v>
      </c>
    </row>
    <row r="66" spans="1:11" ht="15.5" x14ac:dyDescent="0.35">
      <c r="A66" s="2">
        <v>94497939</v>
      </c>
      <c r="B66" s="2" t="s">
        <v>283</v>
      </c>
      <c r="C66" s="2" t="s">
        <v>283</v>
      </c>
      <c r="D66">
        <v>4210587850</v>
      </c>
      <c r="E66" s="2" t="s">
        <v>283</v>
      </c>
      <c r="F66" s="2" t="s">
        <v>283</v>
      </c>
      <c r="G66" s="2" t="s">
        <v>283</v>
      </c>
      <c r="H66" s="2">
        <v>25071061</v>
      </c>
      <c r="I66" s="2" t="s">
        <v>150</v>
      </c>
      <c r="J66" s="2" t="s">
        <v>151</v>
      </c>
      <c r="K66" s="2" t="s">
        <v>36</v>
      </c>
    </row>
    <row r="67" spans="1:11" ht="15.5" x14ac:dyDescent="0.35">
      <c r="A67" s="2">
        <v>93509425</v>
      </c>
      <c r="B67" s="2" t="s">
        <v>283</v>
      </c>
      <c r="C67" s="2" t="s">
        <v>283</v>
      </c>
      <c r="D67">
        <v>4310692022</v>
      </c>
      <c r="E67" s="2" t="s">
        <v>283</v>
      </c>
      <c r="F67" s="2" t="s">
        <v>283</v>
      </c>
      <c r="G67" s="2" t="s">
        <v>283</v>
      </c>
      <c r="H67" s="2">
        <v>36469332</v>
      </c>
      <c r="I67" s="2" t="s">
        <v>152</v>
      </c>
      <c r="J67" s="2" t="s">
        <v>153</v>
      </c>
      <c r="K67" s="2" t="s">
        <v>61</v>
      </c>
    </row>
    <row r="68" spans="1:11" ht="15.5" x14ac:dyDescent="0.35">
      <c r="A68" s="2">
        <v>93509432</v>
      </c>
      <c r="B68" s="2" t="s">
        <v>283</v>
      </c>
      <c r="C68" s="2" t="s">
        <v>283</v>
      </c>
      <c r="D68">
        <v>3022420917</v>
      </c>
      <c r="E68" s="2" t="s">
        <v>283</v>
      </c>
      <c r="F68" s="2" t="s">
        <v>283</v>
      </c>
      <c r="G68" s="2" t="s">
        <v>283</v>
      </c>
      <c r="H68" s="2">
        <v>32354779</v>
      </c>
      <c r="I68" s="2" t="s">
        <v>154</v>
      </c>
      <c r="J68" s="2" t="s">
        <v>155</v>
      </c>
      <c r="K68" s="2" t="s">
        <v>39</v>
      </c>
    </row>
    <row r="69" spans="1:11" ht="15.5" x14ac:dyDescent="0.35">
      <c r="A69" s="2">
        <v>93509556</v>
      </c>
      <c r="B69" s="2" t="s">
        <v>283</v>
      </c>
      <c r="C69" s="2" t="s">
        <v>283</v>
      </c>
      <c r="D69">
        <v>2575340954</v>
      </c>
      <c r="E69" s="2" t="s">
        <v>283</v>
      </c>
      <c r="F69" s="2" t="s">
        <v>283</v>
      </c>
      <c r="G69" s="2" t="s">
        <v>283</v>
      </c>
      <c r="H69" s="2">
        <v>28143734</v>
      </c>
      <c r="I69" s="2" t="s">
        <v>156</v>
      </c>
      <c r="J69" s="2" t="s">
        <v>157</v>
      </c>
      <c r="K69" s="2" t="s">
        <v>27</v>
      </c>
    </row>
    <row r="70" spans="1:11" ht="15.5" x14ac:dyDescent="0.35">
      <c r="A70" s="2">
        <v>93509403</v>
      </c>
      <c r="B70" s="2" t="s">
        <v>283</v>
      </c>
      <c r="C70" s="2" t="s">
        <v>283</v>
      </c>
      <c r="D70">
        <v>2142679415</v>
      </c>
      <c r="E70" s="2" t="s">
        <v>283</v>
      </c>
      <c r="F70" s="2" t="s">
        <v>283</v>
      </c>
      <c r="G70" s="2" t="s">
        <v>283</v>
      </c>
      <c r="H70" s="2">
        <v>12538543</v>
      </c>
      <c r="I70" s="2" t="s">
        <v>158</v>
      </c>
      <c r="J70" s="2" t="s">
        <v>159</v>
      </c>
      <c r="K70" s="2" t="s">
        <v>13</v>
      </c>
    </row>
    <row r="71" spans="1:11" ht="15.5" x14ac:dyDescent="0.35">
      <c r="A71" s="2">
        <v>94497807</v>
      </c>
      <c r="B71" s="2" t="s">
        <v>283</v>
      </c>
      <c r="C71" s="2" t="s">
        <v>283</v>
      </c>
      <c r="D71">
        <v>2172295224</v>
      </c>
      <c r="E71" s="2" t="s">
        <v>283</v>
      </c>
      <c r="F71" s="2" t="s">
        <v>283</v>
      </c>
      <c r="G71" s="2" t="s">
        <v>283</v>
      </c>
      <c r="H71" s="2">
        <v>23561692</v>
      </c>
      <c r="I71" s="2" t="s">
        <v>160</v>
      </c>
      <c r="J71" s="2" t="s">
        <v>161</v>
      </c>
      <c r="K71" s="2" t="s">
        <v>16</v>
      </c>
    </row>
    <row r="72" spans="1:11" ht="15.5" x14ac:dyDescent="0.35">
      <c r="A72" s="2">
        <v>93700586</v>
      </c>
      <c r="B72" s="2" t="s">
        <v>283</v>
      </c>
      <c r="C72" s="2" t="s">
        <v>283</v>
      </c>
      <c r="D72">
        <v>1965763915</v>
      </c>
      <c r="E72" s="2" t="s">
        <v>283</v>
      </c>
      <c r="F72" s="2" t="s">
        <v>283</v>
      </c>
      <c r="G72" s="2" t="s">
        <v>284</v>
      </c>
      <c r="I72" s="2" t="s">
        <v>162</v>
      </c>
      <c r="J72" s="2" t="s">
        <v>163</v>
      </c>
      <c r="K72" s="2" t="s">
        <v>99</v>
      </c>
    </row>
    <row r="73" spans="1:11" ht="15.5" x14ac:dyDescent="0.35">
      <c r="A73" s="2">
        <v>93509344</v>
      </c>
      <c r="B73" s="2" t="s">
        <v>283</v>
      </c>
      <c r="C73" s="2" t="s">
        <v>283</v>
      </c>
      <c r="D73">
        <v>2262340642</v>
      </c>
      <c r="E73" s="2" t="s">
        <v>283</v>
      </c>
      <c r="F73" s="2" t="s">
        <v>283</v>
      </c>
      <c r="G73" s="2" t="s">
        <v>283</v>
      </c>
      <c r="H73" s="2">
        <v>26855009</v>
      </c>
      <c r="I73" s="2" t="s">
        <v>164</v>
      </c>
      <c r="J73" s="2" t="s">
        <v>165</v>
      </c>
      <c r="K73" s="2" t="s">
        <v>46</v>
      </c>
    </row>
    <row r="74" spans="1:11" ht="15.5" x14ac:dyDescent="0.35">
      <c r="A74" s="2">
        <v>93509533</v>
      </c>
      <c r="B74" s="2" t="s">
        <v>283</v>
      </c>
      <c r="C74" s="2" t="s">
        <v>283</v>
      </c>
      <c r="D74">
        <v>1979762576</v>
      </c>
      <c r="E74" s="2" t="s">
        <v>283</v>
      </c>
      <c r="F74" s="2" t="s">
        <v>283</v>
      </c>
      <c r="G74" s="2" t="s">
        <v>284</v>
      </c>
      <c r="H74" s="2">
        <v>17007657</v>
      </c>
      <c r="I74" s="2" t="s">
        <v>166</v>
      </c>
      <c r="J74" s="2" t="s">
        <v>167</v>
      </c>
      <c r="K74" s="2" t="s">
        <v>89</v>
      </c>
    </row>
    <row r="75" spans="1:11" ht="15.5" x14ac:dyDescent="0.35">
      <c r="A75" s="2">
        <v>94498763</v>
      </c>
      <c r="B75" s="2" t="s">
        <v>283</v>
      </c>
      <c r="C75" s="2" t="s">
        <v>283</v>
      </c>
      <c r="D75">
        <v>2898951878</v>
      </c>
      <c r="E75" s="2" t="s">
        <v>283</v>
      </c>
      <c r="F75" s="2" t="s">
        <v>283</v>
      </c>
      <c r="G75" s="2" t="s">
        <v>283</v>
      </c>
      <c r="H75" s="2">
        <v>30373446</v>
      </c>
      <c r="I75" s="2" t="s">
        <v>168</v>
      </c>
      <c r="J75" s="2" t="s">
        <v>169</v>
      </c>
      <c r="K75" s="2" t="s">
        <v>39</v>
      </c>
    </row>
    <row r="76" spans="1:11" ht="15.5" x14ac:dyDescent="0.35">
      <c r="A76" s="2">
        <v>93509298</v>
      </c>
      <c r="B76" s="2" t="s">
        <v>283</v>
      </c>
      <c r="C76" s="2" t="s">
        <v>283</v>
      </c>
      <c r="D76">
        <v>2592655617</v>
      </c>
      <c r="E76" s="2" t="s">
        <v>283</v>
      </c>
      <c r="F76" s="2" t="s">
        <v>283</v>
      </c>
      <c r="G76" s="2" t="s">
        <v>283</v>
      </c>
      <c r="H76" s="2">
        <v>28295529</v>
      </c>
      <c r="I76" s="2" t="s">
        <v>170</v>
      </c>
      <c r="J76" s="2" t="s">
        <v>171</v>
      </c>
      <c r="K76" s="2" t="s">
        <v>27</v>
      </c>
    </row>
    <row r="77" spans="1:11" ht="15.5" x14ac:dyDescent="0.35">
      <c r="A77" s="2">
        <v>93509315</v>
      </c>
      <c r="B77" s="2" t="s">
        <v>283</v>
      </c>
      <c r="C77" s="2" t="s">
        <v>283</v>
      </c>
      <c r="D77">
        <v>2339973334</v>
      </c>
      <c r="E77" s="2" t="s">
        <v>283</v>
      </c>
      <c r="F77" s="2" t="s">
        <v>283</v>
      </c>
      <c r="G77" s="2" t="s">
        <v>283</v>
      </c>
      <c r="H77" s="2">
        <v>27087263</v>
      </c>
      <c r="I77" s="2" t="s">
        <v>172</v>
      </c>
      <c r="J77" s="2" t="s">
        <v>173</v>
      </c>
      <c r="K77" s="2" t="s">
        <v>27</v>
      </c>
    </row>
    <row r="78" spans="1:11" ht="15.5" x14ac:dyDescent="0.35">
      <c r="A78" s="2">
        <v>94497340</v>
      </c>
      <c r="B78" s="2" t="s">
        <v>283</v>
      </c>
      <c r="C78" s="2" t="s">
        <v>283</v>
      </c>
      <c r="D78">
        <v>2069087339</v>
      </c>
      <c r="E78" s="2" t="s">
        <v>283</v>
      </c>
      <c r="F78" s="2" t="s">
        <v>283</v>
      </c>
      <c r="G78" s="2" t="s">
        <v>283</v>
      </c>
      <c r="H78" s="2">
        <v>16501411</v>
      </c>
      <c r="I78" s="2" t="s">
        <v>174</v>
      </c>
      <c r="J78" s="2" t="s">
        <v>175</v>
      </c>
      <c r="K78" s="2" t="s">
        <v>89</v>
      </c>
    </row>
    <row r="79" spans="1:11" ht="15.5" x14ac:dyDescent="0.35">
      <c r="A79" s="2">
        <v>93509472</v>
      </c>
      <c r="B79" s="2" t="s">
        <v>283</v>
      </c>
      <c r="C79" s="2" t="s">
        <v>283</v>
      </c>
      <c r="D79">
        <v>159079241</v>
      </c>
      <c r="E79" s="2" t="s">
        <v>283</v>
      </c>
      <c r="F79" s="2" t="s">
        <v>283</v>
      </c>
      <c r="G79" s="2" t="s">
        <v>283</v>
      </c>
      <c r="H79" s="2">
        <v>15896180</v>
      </c>
      <c r="I79" s="2" t="s">
        <v>176</v>
      </c>
      <c r="J79" s="2" t="s">
        <v>177</v>
      </c>
      <c r="K79" s="2" t="s">
        <v>33</v>
      </c>
    </row>
    <row r="80" spans="1:11" ht="15.5" x14ac:dyDescent="0.35">
      <c r="A80" s="2">
        <v>94497508</v>
      </c>
      <c r="B80" s="2" t="s">
        <v>283</v>
      </c>
      <c r="C80" s="2" t="s">
        <v>283</v>
      </c>
      <c r="D80">
        <v>2156841030</v>
      </c>
      <c r="E80" s="2" t="s">
        <v>283</v>
      </c>
      <c r="F80" s="2" t="s">
        <v>283</v>
      </c>
      <c r="G80" s="2" t="s">
        <v>283</v>
      </c>
      <c r="H80" s="2">
        <v>20002486</v>
      </c>
      <c r="I80" s="2" t="s">
        <v>178</v>
      </c>
      <c r="J80" s="2" t="s">
        <v>179</v>
      </c>
      <c r="K80" s="2" t="s">
        <v>19</v>
      </c>
    </row>
    <row r="81" spans="1:11" ht="15.5" x14ac:dyDescent="0.35">
      <c r="A81" s="2">
        <v>93509659</v>
      </c>
      <c r="B81" s="2" t="s">
        <v>283</v>
      </c>
      <c r="C81" s="2" t="s">
        <v>283</v>
      </c>
      <c r="D81">
        <v>2150995354</v>
      </c>
      <c r="E81" s="2" t="s">
        <v>283</v>
      </c>
      <c r="F81" s="2" t="s">
        <v>283</v>
      </c>
      <c r="G81" s="2" t="s">
        <v>283</v>
      </c>
      <c r="H81" s="2">
        <v>19933731</v>
      </c>
      <c r="I81" s="2" t="s">
        <v>180</v>
      </c>
      <c r="J81" s="2" t="s">
        <v>181</v>
      </c>
      <c r="K81" s="2" t="s">
        <v>19</v>
      </c>
    </row>
    <row r="82" spans="1:11" ht="15.5" x14ac:dyDescent="0.35">
      <c r="A82" s="2">
        <v>93509402</v>
      </c>
      <c r="B82" s="2" t="s">
        <v>283</v>
      </c>
      <c r="C82" s="2" t="s">
        <v>283</v>
      </c>
      <c r="D82">
        <v>2051157055</v>
      </c>
      <c r="E82" s="2" t="s">
        <v>283</v>
      </c>
      <c r="F82" s="2" t="s">
        <v>283</v>
      </c>
      <c r="G82" s="2" t="s">
        <v>283</v>
      </c>
      <c r="H82" s="2">
        <v>20130706</v>
      </c>
      <c r="I82" s="2" t="s">
        <v>182</v>
      </c>
      <c r="J82" s="2" t="s">
        <v>183</v>
      </c>
      <c r="K82" s="2" t="s">
        <v>84</v>
      </c>
    </row>
    <row r="83" spans="1:11" ht="15.5" x14ac:dyDescent="0.35">
      <c r="A83" s="2">
        <v>93510529</v>
      </c>
      <c r="B83" s="2" t="s">
        <v>283</v>
      </c>
      <c r="C83" s="2" t="s">
        <v>283</v>
      </c>
      <c r="D83">
        <v>4220940019</v>
      </c>
      <c r="E83" s="2" t="s">
        <v>283</v>
      </c>
      <c r="F83" s="2" t="s">
        <v>283</v>
      </c>
      <c r="G83" s="2" t="s">
        <v>283</v>
      </c>
      <c r="H83" s="2">
        <v>35985924</v>
      </c>
      <c r="I83" s="2" t="s">
        <v>184</v>
      </c>
      <c r="J83" s="2" t="s">
        <v>185</v>
      </c>
      <c r="K83" s="2" t="s">
        <v>22</v>
      </c>
    </row>
    <row r="84" spans="1:11" ht="15.5" x14ac:dyDescent="0.35">
      <c r="A84" s="2">
        <v>93509395</v>
      </c>
      <c r="B84" s="2" t="s">
        <v>283</v>
      </c>
      <c r="C84" s="2" t="s">
        <v>283</v>
      </c>
      <c r="D84">
        <v>3200756352</v>
      </c>
      <c r="E84" s="2" t="s">
        <v>283</v>
      </c>
      <c r="F84" s="2" t="s">
        <v>283</v>
      </c>
      <c r="G84" s="2" t="s">
        <v>283</v>
      </c>
      <c r="H84" s="2">
        <v>34518110</v>
      </c>
      <c r="I84" s="2" t="s">
        <v>186</v>
      </c>
      <c r="J84" s="2" t="s">
        <v>187</v>
      </c>
      <c r="K84" s="2" t="s">
        <v>8</v>
      </c>
    </row>
    <row r="85" spans="1:11" ht="15.5" x14ac:dyDescent="0.35">
      <c r="A85" s="2">
        <v>93509359</v>
      </c>
      <c r="B85" s="2" t="s">
        <v>283</v>
      </c>
      <c r="C85" s="2" t="s">
        <v>283</v>
      </c>
      <c r="D85">
        <v>3200770789</v>
      </c>
      <c r="E85" s="2" t="s">
        <v>283</v>
      </c>
      <c r="F85" s="2" t="s">
        <v>283</v>
      </c>
      <c r="G85" s="2" t="s">
        <v>283</v>
      </c>
      <c r="H85" s="2">
        <v>34535475</v>
      </c>
      <c r="I85" s="2" t="s">
        <v>188</v>
      </c>
      <c r="J85" s="2" t="s">
        <v>189</v>
      </c>
      <c r="K85" s="2" t="s">
        <v>8</v>
      </c>
    </row>
    <row r="86" spans="1:11" ht="15.5" x14ac:dyDescent="0.35">
      <c r="A86" s="2">
        <v>93509489</v>
      </c>
      <c r="B86" s="2" t="s">
        <v>283</v>
      </c>
      <c r="C86" s="2" t="s">
        <v>283</v>
      </c>
      <c r="D86">
        <v>2056754897</v>
      </c>
      <c r="E86" s="2" t="s">
        <v>283</v>
      </c>
      <c r="F86" s="2" t="s">
        <v>283</v>
      </c>
      <c r="G86" s="2" t="s">
        <v>283</v>
      </c>
      <c r="H86" s="2">
        <v>23973045</v>
      </c>
      <c r="I86" s="2" t="s">
        <v>190</v>
      </c>
      <c r="J86" s="2" t="s">
        <v>191</v>
      </c>
      <c r="K86" s="2" t="s">
        <v>16</v>
      </c>
    </row>
    <row r="87" spans="1:11" ht="15.5" x14ac:dyDescent="0.35">
      <c r="A87" s="2">
        <v>93509235</v>
      </c>
      <c r="B87" s="2" t="s">
        <v>283</v>
      </c>
      <c r="C87" s="2" t="s">
        <v>283</v>
      </c>
      <c r="D87">
        <v>3115467577</v>
      </c>
      <c r="E87" s="2" t="s">
        <v>283</v>
      </c>
      <c r="F87" s="2" t="s">
        <v>283</v>
      </c>
      <c r="G87" s="2" t="s">
        <v>283</v>
      </c>
      <c r="H87" s="2">
        <v>33334818</v>
      </c>
      <c r="I87" s="2" t="s">
        <v>192</v>
      </c>
      <c r="J87" s="2" t="s">
        <v>193</v>
      </c>
      <c r="K87" s="2" t="s">
        <v>22</v>
      </c>
    </row>
    <row r="88" spans="1:11" ht="15.5" x14ac:dyDescent="0.35">
      <c r="A88" s="2">
        <v>93707388</v>
      </c>
      <c r="B88" s="2" t="s">
        <v>283</v>
      </c>
      <c r="C88" s="2" t="s">
        <v>283</v>
      </c>
      <c r="D88">
        <v>4361297832</v>
      </c>
      <c r="E88" s="2" t="s">
        <v>283</v>
      </c>
      <c r="F88" s="2" t="s">
        <v>283</v>
      </c>
      <c r="G88" s="2" t="s">
        <v>283</v>
      </c>
      <c r="H88" s="2">
        <v>36991464</v>
      </c>
      <c r="I88" s="2" t="s">
        <v>194</v>
      </c>
      <c r="J88" s="2" t="s">
        <v>195</v>
      </c>
      <c r="K88" s="2" t="s">
        <v>61</v>
      </c>
    </row>
    <row r="89" spans="1:11" ht="15.5" x14ac:dyDescent="0.35">
      <c r="A89" s="2">
        <v>94498955</v>
      </c>
      <c r="B89" s="2" t="s">
        <v>283</v>
      </c>
      <c r="C89" s="2" t="s">
        <v>283</v>
      </c>
      <c r="D89">
        <v>3209441643</v>
      </c>
      <c r="E89" s="2" t="s">
        <v>283</v>
      </c>
      <c r="F89" s="2" t="s">
        <v>283</v>
      </c>
      <c r="G89" s="2" t="s">
        <v>283</v>
      </c>
      <c r="H89" s="2">
        <v>34740918</v>
      </c>
      <c r="I89" s="2" t="s">
        <v>196</v>
      </c>
      <c r="J89" s="2" t="s">
        <v>197</v>
      </c>
      <c r="K89" s="2" t="s">
        <v>8</v>
      </c>
    </row>
    <row r="90" spans="1:11" ht="15.5" x14ac:dyDescent="0.35">
      <c r="A90" s="2">
        <v>94499121</v>
      </c>
      <c r="B90" s="2" t="s">
        <v>283</v>
      </c>
      <c r="C90" s="2" t="s">
        <v>283</v>
      </c>
      <c r="D90">
        <v>4309822054</v>
      </c>
      <c r="E90" s="2" t="s">
        <v>283</v>
      </c>
      <c r="F90" s="2" t="s">
        <v>283</v>
      </c>
      <c r="G90" s="2" t="s">
        <v>283</v>
      </c>
      <c r="H90" s="2">
        <v>34837256</v>
      </c>
      <c r="I90" s="2" t="s">
        <v>198</v>
      </c>
      <c r="J90" s="2" t="s">
        <v>199</v>
      </c>
      <c r="K90" s="2" t="s">
        <v>22</v>
      </c>
    </row>
    <row r="91" spans="1:11" ht="15.5" x14ac:dyDescent="0.35">
      <c r="A91" s="2">
        <v>93509500</v>
      </c>
      <c r="B91" s="2" t="s">
        <v>283</v>
      </c>
      <c r="C91" s="2" t="s">
        <v>283</v>
      </c>
      <c r="D91">
        <v>3215625743</v>
      </c>
      <c r="E91" s="2" t="s">
        <v>283</v>
      </c>
      <c r="F91" s="2" t="s">
        <v>283</v>
      </c>
      <c r="G91" s="2" t="s">
        <v>283</v>
      </c>
      <c r="H91" s="2">
        <v>36418058</v>
      </c>
      <c r="I91" s="2" t="s">
        <v>198</v>
      </c>
      <c r="J91" s="2" t="s">
        <v>200</v>
      </c>
      <c r="K91" s="2" t="s">
        <v>22</v>
      </c>
    </row>
    <row r="92" spans="1:11" ht="15.5" x14ac:dyDescent="0.35">
      <c r="A92" s="2">
        <v>93509300</v>
      </c>
      <c r="B92" s="2" t="s">
        <v>283</v>
      </c>
      <c r="C92" s="2" t="s">
        <v>283</v>
      </c>
      <c r="D92">
        <v>2943146351</v>
      </c>
      <c r="E92" s="2" t="s">
        <v>283</v>
      </c>
      <c r="F92" s="2" t="s">
        <v>283</v>
      </c>
      <c r="G92" s="2" t="s">
        <v>283</v>
      </c>
      <c r="H92" s="2">
        <v>31034719</v>
      </c>
      <c r="I92" s="2" t="s">
        <v>201</v>
      </c>
      <c r="J92" s="2" t="s">
        <v>202</v>
      </c>
      <c r="K92" s="2" t="s">
        <v>5</v>
      </c>
    </row>
    <row r="93" spans="1:11" ht="15.5" x14ac:dyDescent="0.35">
      <c r="A93" s="2">
        <v>94497200</v>
      </c>
      <c r="B93" s="2" t="s">
        <v>283</v>
      </c>
      <c r="C93" s="2" t="s">
        <v>283</v>
      </c>
      <c r="D93">
        <v>147193200</v>
      </c>
      <c r="E93" s="2" t="s">
        <v>283</v>
      </c>
      <c r="F93" s="2" t="s">
        <v>283</v>
      </c>
      <c r="G93" s="2" t="s">
        <v>283</v>
      </c>
      <c r="H93" s="2">
        <v>14581984</v>
      </c>
      <c r="I93" s="2" t="s">
        <v>203</v>
      </c>
      <c r="J93" s="2" t="s">
        <v>204</v>
      </c>
      <c r="K93" s="2" t="s">
        <v>13</v>
      </c>
    </row>
    <row r="94" spans="1:11" ht="15.5" x14ac:dyDescent="0.35">
      <c r="A94" s="2">
        <v>94498786</v>
      </c>
      <c r="B94" s="2" t="s">
        <v>283</v>
      </c>
      <c r="C94" s="2" t="s">
        <v>283</v>
      </c>
      <c r="D94">
        <v>3027210051</v>
      </c>
      <c r="E94" s="2" t="s">
        <v>283</v>
      </c>
      <c r="F94" s="2" t="s">
        <v>283</v>
      </c>
      <c r="G94" s="2" t="s">
        <v>283</v>
      </c>
      <c r="H94" s="2">
        <v>32429983</v>
      </c>
      <c r="I94" s="2" t="s">
        <v>205</v>
      </c>
      <c r="J94" s="2" t="s">
        <v>206</v>
      </c>
      <c r="K94" s="2" t="s">
        <v>39</v>
      </c>
    </row>
    <row r="95" spans="1:11" ht="15.5" x14ac:dyDescent="0.35">
      <c r="A95" s="2">
        <v>93511151</v>
      </c>
      <c r="B95" s="2" t="s">
        <v>283</v>
      </c>
      <c r="C95" s="2" t="s">
        <v>283</v>
      </c>
      <c r="D95">
        <v>3207506343</v>
      </c>
      <c r="E95" s="2" t="s">
        <v>283</v>
      </c>
      <c r="F95" s="2" t="s">
        <v>283</v>
      </c>
      <c r="G95" s="2" t="s">
        <v>283</v>
      </c>
      <c r="H95" s="2">
        <v>35136854</v>
      </c>
      <c r="I95" s="2" t="s">
        <v>207</v>
      </c>
      <c r="J95" s="2" t="s">
        <v>208</v>
      </c>
      <c r="K95" s="2" t="s">
        <v>8</v>
      </c>
    </row>
    <row r="96" spans="1:11" ht="15.5" x14ac:dyDescent="0.35">
      <c r="A96" s="2">
        <v>93509341</v>
      </c>
      <c r="B96" s="2" t="s">
        <v>283</v>
      </c>
      <c r="C96" s="2" t="s">
        <v>283</v>
      </c>
      <c r="D96">
        <v>3181852238</v>
      </c>
      <c r="E96" s="2" t="s">
        <v>283</v>
      </c>
      <c r="F96" s="2" t="s">
        <v>283</v>
      </c>
      <c r="G96" s="2" t="s">
        <v>283</v>
      </c>
      <c r="H96" s="2">
        <v>34667010</v>
      </c>
      <c r="I96" s="2" t="s">
        <v>207</v>
      </c>
      <c r="J96" s="2" t="s">
        <v>209</v>
      </c>
      <c r="K96" s="2" t="s">
        <v>8</v>
      </c>
    </row>
    <row r="97" spans="1:11" ht="15.5" x14ac:dyDescent="0.35">
      <c r="A97" s="2">
        <v>93703975</v>
      </c>
      <c r="B97" s="2" t="s">
        <v>283</v>
      </c>
      <c r="C97" s="2" t="s">
        <v>283</v>
      </c>
      <c r="D97">
        <v>2346489057</v>
      </c>
      <c r="E97" s="2" t="s">
        <v>284</v>
      </c>
      <c r="F97" s="2" t="s">
        <v>284</v>
      </c>
      <c r="G97" s="2" t="s">
        <v>284</v>
      </c>
      <c r="I97" s="2" t="s">
        <v>210</v>
      </c>
      <c r="J97" s="2" t="s">
        <v>211</v>
      </c>
      <c r="K97" s="2" t="s">
        <v>92</v>
      </c>
    </row>
    <row r="98" spans="1:11" ht="15.5" x14ac:dyDescent="0.35">
      <c r="A98" s="2">
        <v>93509499</v>
      </c>
      <c r="B98" s="2" t="s">
        <v>283</v>
      </c>
      <c r="C98" s="2" t="s">
        <v>283</v>
      </c>
      <c r="D98">
        <v>2165952134</v>
      </c>
      <c r="E98" s="2" t="s">
        <v>283</v>
      </c>
      <c r="F98" s="2" t="s">
        <v>283</v>
      </c>
      <c r="G98" s="2" t="s">
        <v>283</v>
      </c>
      <c r="H98" s="2">
        <v>18927093</v>
      </c>
      <c r="I98" s="2" t="s">
        <v>212</v>
      </c>
      <c r="J98" s="2" t="s">
        <v>213</v>
      </c>
      <c r="K98" s="2" t="s">
        <v>30</v>
      </c>
    </row>
    <row r="99" spans="1:11" ht="15.5" x14ac:dyDescent="0.35">
      <c r="A99" s="2">
        <v>94497856</v>
      </c>
      <c r="B99" s="2" t="s">
        <v>283</v>
      </c>
      <c r="C99" s="2" t="s">
        <v>283</v>
      </c>
      <c r="D99">
        <v>2129671420</v>
      </c>
      <c r="E99" s="2" t="s">
        <v>283</v>
      </c>
      <c r="F99" s="2" t="s">
        <v>283</v>
      </c>
      <c r="G99" s="2" t="s">
        <v>283</v>
      </c>
      <c r="H99" s="2">
        <v>24064544</v>
      </c>
      <c r="I99" s="2" t="s">
        <v>214</v>
      </c>
      <c r="J99" s="2" t="s">
        <v>215</v>
      </c>
      <c r="K99" s="2" t="s">
        <v>16</v>
      </c>
    </row>
    <row r="100" spans="1:11" ht="15.5" x14ac:dyDescent="0.35">
      <c r="A100" s="2">
        <v>93509317</v>
      </c>
      <c r="B100" s="2" t="s">
        <v>283</v>
      </c>
      <c r="C100" s="2" t="s">
        <v>283</v>
      </c>
      <c r="D100">
        <v>2126830768</v>
      </c>
      <c r="E100" s="2" t="s">
        <v>283</v>
      </c>
      <c r="F100" s="2" t="s">
        <v>283</v>
      </c>
      <c r="G100" s="2" t="s">
        <v>283</v>
      </c>
      <c r="H100" s="2">
        <v>26337435</v>
      </c>
      <c r="I100" s="2" t="s">
        <v>216</v>
      </c>
      <c r="J100" s="2" t="s">
        <v>217</v>
      </c>
      <c r="K100" s="2" t="s">
        <v>46</v>
      </c>
    </row>
    <row r="101" spans="1:11" ht="15.5" x14ac:dyDescent="0.35">
      <c r="A101" s="2">
        <v>93510882</v>
      </c>
      <c r="B101" s="2" t="s">
        <v>283</v>
      </c>
      <c r="C101" s="2" t="s">
        <v>283</v>
      </c>
      <c r="D101">
        <v>4288763631</v>
      </c>
      <c r="E101" s="2" t="s">
        <v>283</v>
      </c>
      <c r="F101" s="2" t="s">
        <v>283</v>
      </c>
      <c r="G101" s="2" t="s">
        <v>283</v>
      </c>
      <c r="H101" s="2">
        <v>35928183</v>
      </c>
      <c r="I101" s="2" t="s">
        <v>218</v>
      </c>
      <c r="J101" s="2" t="s">
        <v>219</v>
      </c>
      <c r="K101" s="2" t="s">
        <v>22</v>
      </c>
    </row>
    <row r="102" spans="1:11" ht="15.5" x14ac:dyDescent="0.35">
      <c r="A102" s="2">
        <v>94497581</v>
      </c>
      <c r="B102" s="2" t="s">
        <v>283</v>
      </c>
      <c r="C102" s="2" t="s">
        <v>283</v>
      </c>
      <c r="D102">
        <v>2059323660</v>
      </c>
      <c r="E102" s="2" t="s">
        <v>283</v>
      </c>
      <c r="F102" s="2" t="s">
        <v>283</v>
      </c>
      <c r="G102" s="2" t="s">
        <v>284</v>
      </c>
      <c r="I102" s="2" t="s">
        <v>220</v>
      </c>
      <c r="J102" s="2" t="s">
        <v>221</v>
      </c>
      <c r="K102" s="2" t="s">
        <v>84</v>
      </c>
    </row>
    <row r="103" spans="1:11" ht="15.5" x14ac:dyDescent="0.35">
      <c r="A103" s="2">
        <v>93509580</v>
      </c>
      <c r="B103" s="2" t="s">
        <v>283</v>
      </c>
      <c r="C103" s="2" t="s">
        <v>283</v>
      </c>
      <c r="D103">
        <v>4377047469</v>
      </c>
      <c r="E103" s="2" t="s">
        <v>283</v>
      </c>
      <c r="F103" s="2" t="s">
        <v>283</v>
      </c>
      <c r="G103" s="2" t="s">
        <v>283</v>
      </c>
      <c r="H103" s="2">
        <v>37200245</v>
      </c>
      <c r="I103" s="2" t="s">
        <v>222</v>
      </c>
      <c r="J103" s="2" t="s">
        <v>223</v>
      </c>
      <c r="K103" s="2" t="s">
        <v>61</v>
      </c>
    </row>
    <row r="104" spans="1:11" ht="15.5" x14ac:dyDescent="0.35">
      <c r="A104" s="2">
        <v>93509350</v>
      </c>
      <c r="B104" s="2" t="s">
        <v>283</v>
      </c>
      <c r="C104" s="2" t="s">
        <v>283</v>
      </c>
      <c r="D104">
        <v>1998470199</v>
      </c>
      <c r="E104" s="2" t="s">
        <v>283</v>
      </c>
      <c r="F104" s="2" t="s">
        <v>283</v>
      </c>
      <c r="G104" s="2" t="s">
        <v>283</v>
      </c>
      <c r="H104" s="2">
        <v>20618289</v>
      </c>
      <c r="I104" s="2" t="s">
        <v>224</v>
      </c>
      <c r="J104" s="2" t="s">
        <v>225</v>
      </c>
      <c r="K104" s="2" t="s">
        <v>84</v>
      </c>
    </row>
    <row r="105" spans="1:11" ht="15.5" x14ac:dyDescent="0.35">
      <c r="A105" s="2">
        <v>93509674</v>
      </c>
      <c r="B105" s="2" t="s">
        <v>283</v>
      </c>
      <c r="C105" s="2" t="s">
        <v>283</v>
      </c>
      <c r="D105">
        <v>4312315505</v>
      </c>
      <c r="E105" s="2" t="s">
        <v>283</v>
      </c>
      <c r="F105" s="2" t="s">
        <v>283</v>
      </c>
      <c r="G105" s="2" t="s">
        <v>283</v>
      </c>
      <c r="H105" s="2">
        <v>36630160</v>
      </c>
      <c r="I105" s="2" t="s">
        <v>226</v>
      </c>
      <c r="J105" s="2" t="s">
        <v>227</v>
      </c>
      <c r="K105" s="2" t="s">
        <v>61</v>
      </c>
    </row>
    <row r="106" spans="1:11" ht="15.5" x14ac:dyDescent="0.35">
      <c r="A106" s="2">
        <v>93509507</v>
      </c>
      <c r="B106" s="2" t="s">
        <v>283</v>
      </c>
      <c r="C106" s="2" t="s">
        <v>283</v>
      </c>
      <c r="D106">
        <v>2019738782</v>
      </c>
      <c r="E106" s="2" t="s">
        <v>283</v>
      </c>
      <c r="F106" s="2" t="s">
        <v>283</v>
      </c>
      <c r="G106" s="2" t="s">
        <v>283</v>
      </c>
      <c r="H106" s="2">
        <v>15603624</v>
      </c>
      <c r="I106" s="2" t="s">
        <v>228</v>
      </c>
      <c r="J106" s="2" t="s">
        <v>229</v>
      </c>
      <c r="K106" s="2" t="s">
        <v>75</v>
      </c>
    </row>
    <row r="107" spans="1:11" ht="15.5" x14ac:dyDescent="0.35">
      <c r="A107" s="2">
        <v>93509688</v>
      </c>
      <c r="B107" s="2" t="s">
        <v>283</v>
      </c>
      <c r="C107" s="2" t="s">
        <v>283</v>
      </c>
      <c r="D107">
        <v>2404159748</v>
      </c>
      <c r="E107" s="2" t="s">
        <v>283</v>
      </c>
      <c r="F107" s="2" t="s">
        <v>283</v>
      </c>
      <c r="G107" s="2" t="s">
        <v>283</v>
      </c>
      <c r="H107" s="2">
        <v>27194319</v>
      </c>
      <c r="I107" s="2" t="s">
        <v>230</v>
      </c>
      <c r="J107" s="2" t="s">
        <v>231</v>
      </c>
      <c r="K107" s="2" t="s">
        <v>46</v>
      </c>
    </row>
    <row r="108" spans="1:11" ht="15.5" x14ac:dyDescent="0.35">
      <c r="A108" s="2">
        <v>93509322</v>
      </c>
      <c r="B108" s="2" t="s">
        <v>283</v>
      </c>
      <c r="C108" s="2" t="s">
        <v>283</v>
      </c>
      <c r="D108">
        <v>3134382414</v>
      </c>
      <c r="E108" s="2" t="s">
        <v>283</v>
      </c>
      <c r="F108" s="2" t="s">
        <v>283</v>
      </c>
      <c r="G108" s="2" t="s">
        <v>283</v>
      </c>
      <c r="H108" s="2">
        <v>33682935</v>
      </c>
      <c r="I108" s="2" t="s">
        <v>232</v>
      </c>
      <c r="J108" s="2" t="s">
        <v>233</v>
      </c>
      <c r="K108" s="2" t="s">
        <v>8</v>
      </c>
    </row>
    <row r="109" spans="1:11" ht="15.5" x14ac:dyDescent="0.35">
      <c r="A109" s="2">
        <v>94498997</v>
      </c>
      <c r="B109" s="2" t="s">
        <v>283</v>
      </c>
      <c r="C109" s="2" t="s">
        <v>283</v>
      </c>
      <c r="D109">
        <v>3159281016</v>
      </c>
      <c r="E109" s="2" t="s">
        <v>283</v>
      </c>
      <c r="F109" s="2" t="s">
        <v>283</v>
      </c>
      <c r="G109" s="2" t="s">
        <v>283</v>
      </c>
      <c r="I109" s="2" t="s">
        <v>234</v>
      </c>
      <c r="J109" s="2" t="s">
        <v>235</v>
      </c>
      <c r="K109" s="2" t="s">
        <v>8</v>
      </c>
    </row>
    <row r="110" spans="1:11" ht="15.5" x14ac:dyDescent="0.35">
      <c r="A110" s="2">
        <v>93509309</v>
      </c>
      <c r="B110" s="2" t="s">
        <v>283</v>
      </c>
      <c r="C110" s="2" t="s">
        <v>283</v>
      </c>
      <c r="D110">
        <v>1983455295</v>
      </c>
      <c r="E110" s="2" t="s">
        <v>283</v>
      </c>
      <c r="F110" s="2" t="s">
        <v>283</v>
      </c>
      <c r="G110" s="2" t="s">
        <v>283</v>
      </c>
      <c r="H110" s="2">
        <v>25495856</v>
      </c>
      <c r="I110" s="2" t="s">
        <v>236</v>
      </c>
      <c r="J110" s="2" t="s">
        <v>237</v>
      </c>
      <c r="K110" s="2" t="s">
        <v>99</v>
      </c>
    </row>
    <row r="111" spans="1:11" ht="15.5" x14ac:dyDescent="0.35">
      <c r="A111" s="2">
        <v>93509553</v>
      </c>
      <c r="B111" s="2" t="s">
        <v>283</v>
      </c>
      <c r="C111" s="2" t="s">
        <v>283</v>
      </c>
      <c r="D111">
        <v>3126510186</v>
      </c>
      <c r="E111" s="2" t="s">
        <v>283</v>
      </c>
      <c r="F111" s="2" t="s">
        <v>283</v>
      </c>
      <c r="G111" s="2" t="s">
        <v>283</v>
      </c>
      <c r="H111" s="2">
        <v>33545742</v>
      </c>
      <c r="I111" s="2" t="s">
        <v>238</v>
      </c>
      <c r="J111" s="2" t="s">
        <v>239</v>
      </c>
      <c r="K111" s="2" t="s">
        <v>8</v>
      </c>
    </row>
    <row r="112" spans="1:11" ht="15.5" x14ac:dyDescent="0.35">
      <c r="A112" s="2">
        <v>94497656</v>
      </c>
      <c r="B112" s="2" t="s">
        <v>283</v>
      </c>
      <c r="C112" s="2" t="s">
        <v>283</v>
      </c>
      <c r="D112">
        <v>133138556</v>
      </c>
      <c r="E112" s="2" t="s">
        <v>283</v>
      </c>
      <c r="F112" s="2" t="s">
        <v>283</v>
      </c>
      <c r="G112" s="2" t="s">
        <v>283</v>
      </c>
      <c r="H112" s="2">
        <v>20973897</v>
      </c>
      <c r="I112" s="2" t="s">
        <v>240</v>
      </c>
      <c r="J112" s="2" t="s">
        <v>241</v>
      </c>
      <c r="K112" s="2" t="s">
        <v>70</v>
      </c>
    </row>
    <row r="113" spans="1:11" ht="15.5" x14ac:dyDescent="0.35">
      <c r="A113" s="2">
        <v>94497655</v>
      </c>
      <c r="B113" s="2" t="s">
        <v>283</v>
      </c>
      <c r="C113" s="2" t="s">
        <v>283</v>
      </c>
      <c r="D113">
        <v>1555314626</v>
      </c>
      <c r="E113" s="2" t="s">
        <v>283</v>
      </c>
      <c r="F113" s="2" t="s">
        <v>283</v>
      </c>
      <c r="G113" s="2" t="s">
        <v>283</v>
      </c>
      <c r="H113" s="2">
        <v>21597536</v>
      </c>
      <c r="I113" s="2" t="s">
        <v>240</v>
      </c>
      <c r="J113" s="2" t="s">
        <v>242</v>
      </c>
      <c r="K113" s="2" t="s">
        <v>70</v>
      </c>
    </row>
    <row r="114" spans="1:11" ht="15.5" x14ac:dyDescent="0.35">
      <c r="A114" s="2">
        <v>94498657</v>
      </c>
      <c r="B114" s="2" t="s">
        <v>283</v>
      </c>
      <c r="C114" s="2" t="s">
        <v>283</v>
      </c>
      <c r="D114">
        <v>2965420043</v>
      </c>
      <c r="E114" s="2" t="s">
        <v>283</v>
      </c>
      <c r="F114" s="2" t="s">
        <v>283</v>
      </c>
      <c r="G114" s="2" t="s">
        <v>283</v>
      </c>
      <c r="H114" s="2">
        <v>32104778</v>
      </c>
      <c r="I114" s="2" t="s">
        <v>243</v>
      </c>
      <c r="J114" s="2" t="s">
        <v>244</v>
      </c>
      <c r="K114" s="2" t="s">
        <v>5</v>
      </c>
    </row>
    <row r="115" spans="1:11" ht="15.5" x14ac:dyDescent="0.35">
      <c r="A115" s="2">
        <v>93704206</v>
      </c>
      <c r="B115" s="2" t="s">
        <v>283</v>
      </c>
      <c r="C115" s="2" t="s">
        <v>284</v>
      </c>
      <c r="D115"/>
      <c r="E115" s="2" t="s">
        <v>284</v>
      </c>
      <c r="F115" s="2" t="s">
        <v>284</v>
      </c>
      <c r="G115" s="2" t="s">
        <v>284</v>
      </c>
      <c r="I115" s="2" t="s">
        <v>245</v>
      </c>
      <c r="J115" s="2" t="s">
        <v>246</v>
      </c>
      <c r="K115" s="2" t="s">
        <v>75</v>
      </c>
    </row>
    <row r="116" spans="1:11" ht="15.5" x14ac:dyDescent="0.35">
      <c r="A116" s="2">
        <v>93509326</v>
      </c>
      <c r="B116" s="2" t="s">
        <v>283</v>
      </c>
      <c r="C116" s="2" t="s">
        <v>283</v>
      </c>
      <c r="D116">
        <v>1605365105</v>
      </c>
      <c r="E116" s="2" t="s">
        <v>283</v>
      </c>
      <c r="F116" s="2" t="s">
        <v>283</v>
      </c>
      <c r="G116" s="2" t="s">
        <v>283</v>
      </c>
      <c r="H116" s="2">
        <v>26183285</v>
      </c>
      <c r="I116" s="2" t="s">
        <v>247</v>
      </c>
      <c r="J116" s="2" t="s">
        <v>248</v>
      </c>
      <c r="K116" s="2" t="s">
        <v>99</v>
      </c>
    </row>
    <row r="117" spans="1:11" ht="15.5" x14ac:dyDescent="0.35">
      <c r="A117" s="2">
        <v>93510403</v>
      </c>
      <c r="B117" s="2" t="s">
        <v>283</v>
      </c>
      <c r="C117" s="2" t="s">
        <v>283</v>
      </c>
      <c r="D117">
        <v>2963078422</v>
      </c>
      <c r="E117" s="2" t="s">
        <v>283</v>
      </c>
      <c r="F117" s="2" t="s">
        <v>283</v>
      </c>
      <c r="G117" s="2" t="s">
        <v>283</v>
      </c>
      <c r="H117" s="2">
        <v>32270006</v>
      </c>
      <c r="I117" s="2" t="s">
        <v>249</v>
      </c>
      <c r="J117" s="2" t="s">
        <v>250</v>
      </c>
      <c r="K117" s="2" t="s">
        <v>39</v>
      </c>
    </row>
    <row r="118" spans="1:11" ht="15.5" x14ac:dyDescent="0.35">
      <c r="A118" s="2">
        <v>93509364</v>
      </c>
      <c r="B118" s="2" t="s">
        <v>283</v>
      </c>
      <c r="C118" s="2" t="s">
        <v>283</v>
      </c>
      <c r="D118">
        <v>4307582454</v>
      </c>
      <c r="E118" s="2" t="s">
        <v>283</v>
      </c>
      <c r="F118" s="2" t="s">
        <v>283</v>
      </c>
      <c r="G118" s="2" t="s">
        <v>283</v>
      </c>
      <c r="H118" s="2">
        <v>36308051</v>
      </c>
      <c r="I118" s="2" t="s">
        <v>251</v>
      </c>
      <c r="J118" s="2" t="s">
        <v>252</v>
      </c>
      <c r="K118" s="2" t="s">
        <v>61</v>
      </c>
    </row>
    <row r="119" spans="1:11" ht="15.5" x14ac:dyDescent="0.35">
      <c r="A119" s="2">
        <v>93509512</v>
      </c>
      <c r="B119" s="2" t="s">
        <v>283</v>
      </c>
      <c r="C119" s="2" t="s">
        <v>283</v>
      </c>
      <c r="D119">
        <v>3093233282</v>
      </c>
      <c r="E119" s="2" t="s">
        <v>283</v>
      </c>
      <c r="F119" s="2" t="s">
        <v>283</v>
      </c>
      <c r="G119" s="2" t="s">
        <v>283</v>
      </c>
      <c r="H119" s="2">
        <v>33068305</v>
      </c>
      <c r="I119" s="2" t="s">
        <v>253</v>
      </c>
      <c r="J119" s="2" t="s">
        <v>254</v>
      </c>
      <c r="K119" s="2" t="s">
        <v>8</v>
      </c>
    </row>
    <row r="120" spans="1:11" ht="15.5" x14ac:dyDescent="0.35">
      <c r="A120" s="2">
        <v>93509552</v>
      </c>
      <c r="B120" s="2" t="s">
        <v>283</v>
      </c>
      <c r="C120" s="2" t="s">
        <v>283</v>
      </c>
      <c r="D120">
        <v>2913437479</v>
      </c>
      <c r="E120" s="2" t="s">
        <v>283</v>
      </c>
      <c r="F120" s="2" t="s">
        <v>283</v>
      </c>
      <c r="G120" s="2" t="s">
        <v>283</v>
      </c>
      <c r="H120" s="2">
        <v>30696547</v>
      </c>
      <c r="I120" s="2" t="s">
        <v>255</v>
      </c>
      <c r="J120" s="2" t="s">
        <v>256</v>
      </c>
      <c r="K120" s="2" t="s">
        <v>5</v>
      </c>
    </row>
    <row r="121" spans="1:11" ht="15.5" x14ac:dyDescent="0.35">
      <c r="A121" s="2">
        <v>93706674</v>
      </c>
      <c r="B121" s="2" t="s">
        <v>283</v>
      </c>
      <c r="C121" s="2" t="s">
        <v>283</v>
      </c>
      <c r="D121">
        <v>1582532655</v>
      </c>
      <c r="E121" s="2" t="s">
        <v>283</v>
      </c>
      <c r="F121" s="2" t="s">
        <v>284</v>
      </c>
      <c r="G121" s="2" t="s">
        <v>283</v>
      </c>
      <c r="H121" s="2">
        <v>16827417</v>
      </c>
      <c r="I121" s="2" t="s">
        <v>257</v>
      </c>
      <c r="J121" s="2" t="s">
        <v>258</v>
      </c>
      <c r="K121" s="2" t="s">
        <v>89</v>
      </c>
    </row>
    <row r="122" spans="1:11" ht="15.5" x14ac:dyDescent="0.35">
      <c r="A122" s="2">
        <v>94499004</v>
      </c>
      <c r="B122" s="2" t="s">
        <v>283</v>
      </c>
      <c r="C122" s="2" t="s">
        <v>283</v>
      </c>
      <c r="D122">
        <v>3016782994</v>
      </c>
      <c r="E122" s="2" t="s">
        <v>283</v>
      </c>
      <c r="F122" s="2" t="s">
        <v>283</v>
      </c>
      <c r="G122" s="2" t="s">
        <v>283</v>
      </c>
      <c r="H122" s="2">
        <v>32317793</v>
      </c>
      <c r="I122" s="2" t="s">
        <v>259</v>
      </c>
      <c r="J122" s="2" t="s">
        <v>260</v>
      </c>
      <c r="K122" s="2" t="s">
        <v>8</v>
      </c>
    </row>
    <row r="123" spans="1:11" ht="15.5" x14ac:dyDescent="0.35">
      <c r="A123" s="2">
        <v>93511067</v>
      </c>
      <c r="B123" s="2" t="s">
        <v>283</v>
      </c>
      <c r="C123" s="2" t="s">
        <v>283</v>
      </c>
      <c r="D123">
        <v>2193176257</v>
      </c>
      <c r="E123" s="2" t="s">
        <v>283</v>
      </c>
      <c r="F123" s="2" t="s">
        <v>283</v>
      </c>
      <c r="G123" s="2" t="s">
        <v>283</v>
      </c>
      <c r="H123" s="2">
        <v>26635964</v>
      </c>
      <c r="I123" s="2" t="s">
        <v>261</v>
      </c>
      <c r="J123" s="2" t="s">
        <v>262</v>
      </c>
      <c r="K123" s="2" t="s">
        <v>99</v>
      </c>
    </row>
    <row r="124" spans="1:11" ht="15.5" x14ac:dyDescent="0.35">
      <c r="A124" s="2">
        <v>93509629</v>
      </c>
      <c r="B124" s="2" t="s">
        <v>283</v>
      </c>
      <c r="C124" s="2" t="s">
        <v>283</v>
      </c>
      <c r="D124">
        <v>1980532269</v>
      </c>
      <c r="E124" s="2" t="s">
        <v>283</v>
      </c>
      <c r="F124" s="2" t="s">
        <v>283</v>
      </c>
      <c r="G124" s="2" t="s">
        <v>283</v>
      </c>
      <c r="H124" s="2">
        <v>23199538</v>
      </c>
      <c r="I124" s="2" t="s">
        <v>263</v>
      </c>
      <c r="J124" s="2" t="s">
        <v>264</v>
      </c>
      <c r="K124" s="2" t="s">
        <v>92</v>
      </c>
    </row>
    <row r="125" spans="1:11" ht="15.5" x14ac:dyDescent="0.35">
      <c r="A125" s="2">
        <v>93509281</v>
      </c>
      <c r="B125" s="2" t="s">
        <v>283</v>
      </c>
      <c r="C125" s="2" t="s">
        <v>283</v>
      </c>
      <c r="D125">
        <v>3216712031</v>
      </c>
      <c r="E125" s="2" t="s">
        <v>283</v>
      </c>
      <c r="F125" s="2" t="s">
        <v>283</v>
      </c>
      <c r="G125" s="2" t="s">
        <v>283</v>
      </c>
      <c r="H125" s="2">
        <v>34847874</v>
      </c>
      <c r="I125" s="2" t="s">
        <v>265</v>
      </c>
      <c r="J125" s="2" t="s">
        <v>266</v>
      </c>
      <c r="K125" s="2" t="s">
        <v>8</v>
      </c>
    </row>
    <row r="126" spans="1:11" ht="15.5" x14ac:dyDescent="0.35">
      <c r="A126" s="2">
        <v>93509385</v>
      </c>
      <c r="B126" s="2" t="s">
        <v>283</v>
      </c>
      <c r="C126" s="2" t="s">
        <v>283</v>
      </c>
      <c r="D126">
        <v>4200158933</v>
      </c>
      <c r="E126" s="2" t="s">
        <v>283</v>
      </c>
      <c r="F126" s="2" t="s">
        <v>283</v>
      </c>
      <c r="G126" s="2" t="s">
        <v>283</v>
      </c>
      <c r="H126" s="2">
        <v>34882788</v>
      </c>
      <c r="I126" s="2" t="s">
        <v>267</v>
      </c>
      <c r="J126" s="2" t="s">
        <v>268</v>
      </c>
      <c r="K126" s="2" t="s">
        <v>22</v>
      </c>
    </row>
    <row r="127" spans="1:11" ht="15.5" x14ac:dyDescent="0.35">
      <c r="A127" s="2">
        <v>94497258</v>
      </c>
      <c r="B127" s="2" t="s">
        <v>283</v>
      </c>
      <c r="C127" s="2" t="s">
        <v>283</v>
      </c>
      <c r="D127">
        <v>2045867306</v>
      </c>
      <c r="E127" s="2" t="s">
        <v>283</v>
      </c>
      <c r="F127" s="2" t="s">
        <v>283</v>
      </c>
      <c r="G127" s="2" t="s">
        <v>283</v>
      </c>
      <c r="H127" s="2">
        <v>15008839</v>
      </c>
      <c r="I127" s="2" t="s">
        <v>269</v>
      </c>
      <c r="J127" s="2" t="s">
        <v>270</v>
      </c>
      <c r="K127" s="2" t="s">
        <v>75</v>
      </c>
    </row>
    <row r="128" spans="1:11" ht="15.5" x14ac:dyDescent="0.35">
      <c r="A128" s="2">
        <v>94499268</v>
      </c>
      <c r="B128" s="2" t="s">
        <v>283</v>
      </c>
      <c r="C128" s="2" t="s">
        <v>283</v>
      </c>
      <c r="D128">
        <v>4386756937</v>
      </c>
      <c r="E128" s="2" t="s">
        <v>283</v>
      </c>
      <c r="F128" s="2" t="s">
        <v>283</v>
      </c>
      <c r="G128" s="2" t="s">
        <v>283</v>
      </c>
      <c r="H128" s="2">
        <v>37708485</v>
      </c>
      <c r="I128" s="2" t="s">
        <v>271</v>
      </c>
      <c r="J128" s="2" t="s">
        <v>272</v>
      </c>
      <c r="K128" s="2" t="s">
        <v>61</v>
      </c>
    </row>
    <row r="129" spans="1:11" ht="15.5" x14ac:dyDescent="0.35">
      <c r="A129" s="2">
        <v>93698302</v>
      </c>
      <c r="B129" s="2" t="s">
        <v>283</v>
      </c>
      <c r="C129" s="2" t="s">
        <v>283</v>
      </c>
      <c r="D129">
        <v>4319009170</v>
      </c>
      <c r="E129" s="2" t="s">
        <v>283</v>
      </c>
      <c r="F129" s="2" t="s">
        <v>283</v>
      </c>
      <c r="G129" s="2" t="s">
        <v>284</v>
      </c>
      <c r="I129" s="2" t="s">
        <v>273</v>
      </c>
      <c r="J129" s="2" t="s">
        <v>274</v>
      </c>
      <c r="K129" s="2" t="s">
        <v>61</v>
      </c>
    </row>
    <row r="130" spans="1:11" ht="15.5" x14ac:dyDescent="0.35">
      <c r="A130" s="2">
        <v>94499160</v>
      </c>
      <c r="B130" s="2" t="s">
        <v>283</v>
      </c>
      <c r="C130" s="2" t="s">
        <v>283</v>
      </c>
      <c r="D130">
        <v>4283260062</v>
      </c>
      <c r="E130" s="2" t="s">
        <v>283</v>
      </c>
      <c r="F130" s="2" t="s">
        <v>283</v>
      </c>
      <c r="G130" s="2" t="s">
        <v>283</v>
      </c>
      <c r="H130" s="2">
        <v>35772087</v>
      </c>
      <c r="I130" s="2" t="s">
        <v>275</v>
      </c>
      <c r="J130" s="2" t="s">
        <v>276</v>
      </c>
      <c r="K130" s="2" t="s">
        <v>22</v>
      </c>
    </row>
    <row r="131" spans="1:11" ht="15.5" x14ac:dyDescent="0.35">
      <c r="A131" s="2">
        <v>94498835</v>
      </c>
      <c r="B131" s="2" t="s">
        <v>283</v>
      </c>
      <c r="C131" s="2" t="s">
        <v>283</v>
      </c>
      <c r="D131">
        <v>3000719683</v>
      </c>
      <c r="E131" s="2" t="s">
        <v>283</v>
      </c>
      <c r="F131" s="2" t="s">
        <v>283</v>
      </c>
      <c r="G131" s="2" t="s">
        <v>283</v>
      </c>
      <c r="H131" s="2">
        <v>32133172</v>
      </c>
      <c r="I131" s="2" t="s">
        <v>277</v>
      </c>
      <c r="J131" s="2" t="s">
        <v>278</v>
      </c>
      <c r="K131" s="2" t="s">
        <v>39</v>
      </c>
    </row>
    <row r="132" spans="1:11" ht="15.5" x14ac:dyDescent="0.35">
      <c r="A132" s="2">
        <v>93509426</v>
      </c>
      <c r="B132" s="2" t="s">
        <v>283</v>
      </c>
      <c r="C132" s="2" t="s">
        <v>283</v>
      </c>
      <c r="D132">
        <v>2168941618</v>
      </c>
      <c r="E132" s="2" t="s">
        <v>283</v>
      </c>
      <c r="F132" s="2" t="s">
        <v>283</v>
      </c>
      <c r="G132" s="2" t="s">
        <v>283</v>
      </c>
      <c r="H132" s="2">
        <v>22414383</v>
      </c>
      <c r="I132" s="2" t="s">
        <v>279</v>
      </c>
      <c r="J132" s="2" t="s">
        <v>280</v>
      </c>
      <c r="K132" s="2" t="s">
        <v>92</v>
      </c>
    </row>
    <row r="133" spans="1:11" ht="15.5" x14ac:dyDescent="0.35">
      <c r="A133" s="2">
        <v>93509692</v>
      </c>
      <c r="B133" s="2" t="s">
        <v>283</v>
      </c>
      <c r="C133" s="2" t="s">
        <v>283</v>
      </c>
      <c r="D133">
        <v>2147736741</v>
      </c>
      <c r="E133" s="2" t="s">
        <v>283</v>
      </c>
      <c r="F133" s="2" t="s">
        <v>283</v>
      </c>
      <c r="G133" s="2" t="s">
        <v>283</v>
      </c>
      <c r="H133" s="2">
        <v>25098587</v>
      </c>
      <c r="I133" s="2" t="s">
        <v>281</v>
      </c>
      <c r="J133" s="2" t="s">
        <v>282</v>
      </c>
      <c r="K133" s="2" t="s">
        <v>36</v>
      </c>
    </row>
    <row r="134" spans="1:11" ht="15.5" x14ac:dyDescent="0.35">
      <c r="A134" s="2">
        <v>101978313</v>
      </c>
      <c r="B134" s="2" t="s">
        <v>284</v>
      </c>
      <c r="C134" s="2" t="s">
        <v>283</v>
      </c>
      <c r="D134">
        <v>3213923128</v>
      </c>
      <c r="E134" s="2" t="s">
        <v>283</v>
      </c>
      <c r="F134" s="2" t="s">
        <v>283</v>
      </c>
      <c r="G134" s="2" t="s">
        <v>284</v>
      </c>
      <c r="I134" s="2" t="s">
        <v>292</v>
      </c>
      <c r="J134" s="2" t="s">
        <v>295</v>
      </c>
      <c r="K134" s="2">
        <v>2013</v>
      </c>
    </row>
    <row r="135" spans="1:11" ht="15.5" x14ac:dyDescent="0.35">
      <c r="A135" s="2">
        <v>101983622</v>
      </c>
      <c r="B135" s="2" t="s">
        <v>284</v>
      </c>
      <c r="C135" s="2" t="s">
        <v>283</v>
      </c>
      <c r="D135">
        <v>2128326945</v>
      </c>
      <c r="E135" s="2" t="s">
        <v>283</v>
      </c>
      <c r="F135" s="2" t="s">
        <v>283</v>
      </c>
      <c r="G135" s="2" t="s">
        <v>284</v>
      </c>
      <c r="I135" s="2" t="s">
        <v>293</v>
      </c>
      <c r="J135" s="2" t="s">
        <v>294</v>
      </c>
      <c r="K135" s="2">
        <v>2014</v>
      </c>
    </row>
    <row r="136" spans="1:11" x14ac:dyDescent="0.35">
      <c r="A136" s="1" t="s">
        <v>305</v>
      </c>
      <c r="B136" s="2">
        <f>COUNTIF(B3:B135,"y")</f>
        <v>131</v>
      </c>
      <c r="C136" s="2">
        <f>COUNTIF(C3:C135,"y")</f>
        <v>130</v>
      </c>
      <c r="E136" s="2">
        <f t="shared" ref="E136:F136" si="0">COUNTIF(E3:E135,"y")</f>
        <v>128</v>
      </c>
      <c r="F136" s="2">
        <f t="shared" si="0"/>
        <v>125</v>
      </c>
      <c r="G136" s="2">
        <f>COUNTIF(G3:G135,"y")</f>
        <v>117</v>
      </c>
    </row>
  </sheetData>
  <sortState xmlns:xlrd2="http://schemas.microsoft.com/office/spreadsheetml/2017/richdata2" ref="A3:K133">
    <sortCondition ref="I3:I133"/>
  </sortState>
  <pageMargins left="0.7" right="0.7" top="0.75" bottom="0.75" header="0.3" footer="0.3"/>
  <ignoredErrors>
    <ignoredError sqref="I2:K2 K3 K4:K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BBD1-DE52-4C48-8404-31644BA96E46}">
  <dimension ref="A1:L16"/>
  <sheetViews>
    <sheetView topLeftCell="D22" workbookViewId="0">
      <selection activeCell="F2" sqref="F2"/>
    </sheetView>
  </sheetViews>
  <sheetFormatPr defaultColWidth="8.58203125" defaultRowHeight="14" x14ac:dyDescent="0.35"/>
  <cols>
    <col min="1" max="1" width="14.08203125" style="2" customWidth="1"/>
    <col min="2" max="2" width="15.25" style="2" customWidth="1"/>
    <col min="3" max="3" width="12.25" style="2" customWidth="1"/>
    <col min="4" max="4" width="51.58203125" style="2" customWidth="1"/>
    <col min="5" max="5" width="8.58203125" style="3" customWidth="1"/>
    <col min="6" max="6" width="19.5" style="4" customWidth="1"/>
    <col min="7" max="7" width="21.5" style="2" customWidth="1"/>
    <col min="8" max="8" width="14.25" style="2" customWidth="1"/>
    <col min="9" max="9" width="12.83203125" style="2" customWidth="1"/>
    <col min="10" max="10" width="14.25" style="2" customWidth="1"/>
    <col min="11" max="11" width="11.5" style="2" customWidth="1"/>
    <col min="12" max="12" width="21.75" style="5" customWidth="1"/>
    <col min="13" max="16384" width="8.58203125" style="2"/>
  </cols>
  <sheetData>
    <row r="1" spans="1:12" x14ac:dyDescent="0.35">
      <c r="A1" s="1" t="s">
        <v>300</v>
      </c>
    </row>
    <row r="2" spans="1:12" s="10" customFormat="1" ht="91.5" customHeight="1" x14ac:dyDescent="0.35">
      <c r="A2" s="6" t="s">
        <v>296</v>
      </c>
      <c r="B2" s="7" t="s">
        <v>286</v>
      </c>
      <c r="C2" s="6" t="s">
        <v>287</v>
      </c>
      <c r="D2" s="6" t="s">
        <v>1</v>
      </c>
      <c r="E2" s="8" t="s">
        <v>2</v>
      </c>
      <c r="F2" s="7" t="s">
        <v>298</v>
      </c>
      <c r="G2" s="6" t="s">
        <v>301</v>
      </c>
      <c r="H2" s="6" t="s">
        <v>288</v>
      </c>
      <c r="I2" s="6" t="s">
        <v>289</v>
      </c>
      <c r="J2" s="6" t="s">
        <v>308</v>
      </c>
      <c r="K2" s="6" t="s">
        <v>290</v>
      </c>
      <c r="L2" s="9" t="s">
        <v>285</v>
      </c>
    </row>
    <row r="3" spans="1:12" x14ac:dyDescent="0.35">
      <c r="A3" s="2">
        <v>93706620</v>
      </c>
      <c r="B3" s="4">
        <v>2919310303</v>
      </c>
      <c r="C3" s="2" t="s">
        <v>9</v>
      </c>
      <c r="D3" s="2" t="s">
        <v>10</v>
      </c>
      <c r="E3" s="2" t="s">
        <v>5</v>
      </c>
      <c r="F3" s="4" t="s">
        <v>283</v>
      </c>
      <c r="G3" s="2" t="s">
        <v>283</v>
      </c>
      <c r="H3" s="2">
        <v>3</v>
      </c>
      <c r="I3" s="2">
        <v>1</v>
      </c>
      <c r="J3" s="2">
        <v>10</v>
      </c>
      <c r="K3" s="2" t="s">
        <v>283</v>
      </c>
      <c r="L3" s="5">
        <v>43535</v>
      </c>
    </row>
    <row r="4" spans="1:12" x14ac:dyDescent="0.35">
      <c r="A4" s="2">
        <v>93698302</v>
      </c>
      <c r="B4" s="4">
        <v>4319009170</v>
      </c>
      <c r="C4" s="2" t="s">
        <v>273</v>
      </c>
      <c r="D4" s="2" t="s">
        <v>274</v>
      </c>
      <c r="E4" s="2" t="s">
        <v>61</v>
      </c>
      <c r="F4" s="4" t="s">
        <v>283</v>
      </c>
      <c r="G4" s="2" t="s">
        <v>283</v>
      </c>
      <c r="H4" s="2">
        <v>14</v>
      </c>
      <c r="I4" s="2">
        <v>0</v>
      </c>
      <c r="J4" s="2">
        <v>10</v>
      </c>
      <c r="K4" s="2" t="s">
        <v>283</v>
      </c>
      <c r="L4" s="5">
        <v>44960</v>
      </c>
    </row>
    <row r="5" spans="1:12" x14ac:dyDescent="0.35">
      <c r="A5" s="2">
        <v>94497581</v>
      </c>
      <c r="B5" s="4">
        <v>2059323660</v>
      </c>
      <c r="C5" s="2" t="s">
        <v>220</v>
      </c>
      <c r="D5" s="2" t="s">
        <v>221</v>
      </c>
      <c r="E5" s="2" t="s">
        <v>84</v>
      </c>
      <c r="F5" s="4" t="s">
        <v>283</v>
      </c>
      <c r="G5" s="2" t="s">
        <v>284</v>
      </c>
      <c r="H5" s="2">
        <v>0</v>
      </c>
      <c r="I5" s="2">
        <v>1</v>
      </c>
      <c r="J5" s="2">
        <v>10</v>
      </c>
      <c r="K5" s="2" t="s">
        <v>283</v>
      </c>
      <c r="L5" s="5">
        <v>42545</v>
      </c>
    </row>
    <row r="6" spans="1:12" x14ac:dyDescent="0.35">
      <c r="A6" s="2">
        <v>94498871</v>
      </c>
      <c r="B6" s="4">
        <v>3201055785</v>
      </c>
      <c r="C6" s="2" t="s">
        <v>51</v>
      </c>
      <c r="D6" s="2" t="s">
        <v>52</v>
      </c>
      <c r="E6" s="2" t="s">
        <v>8</v>
      </c>
      <c r="F6" s="4" t="s">
        <v>283</v>
      </c>
      <c r="G6" s="2" t="s">
        <v>283</v>
      </c>
      <c r="H6" s="2">
        <v>18</v>
      </c>
      <c r="I6" s="2">
        <v>4</v>
      </c>
      <c r="J6" s="2">
        <v>10</v>
      </c>
      <c r="K6" s="2" t="s">
        <v>283</v>
      </c>
      <c r="L6" s="5">
        <v>44466</v>
      </c>
    </row>
    <row r="7" spans="1:12" x14ac:dyDescent="0.35">
      <c r="A7" s="2">
        <v>93703975</v>
      </c>
      <c r="B7" s="4">
        <v>2346489057</v>
      </c>
      <c r="C7" s="2" t="s">
        <v>210</v>
      </c>
      <c r="D7" s="2" t="s">
        <v>211</v>
      </c>
      <c r="E7" s="2" t="s">
        <v>92</v>
      </c>
      <c r="F7" s="4" t="s">
        <v>284</v>
      </c>
      <c r="G7" s="2" t="s">
        <v>283</v>
      </c>
      <c r="H7" s="2">
        <v>0</v>
      </c>
      <c r="I7" s="2">
        <v>13</v>
      </c>
      <c r="J7" s="2">
        <v>20</v>
      </c>
      <c r="K7" s="2" t="s">
        <v>284</v>
      </c>
      <c r="L7" s="5">
        <v>42545</v>
      </c>
    </row>
    <row r="8" spans="1:12" x14ac:dyDescent="0.35">
      <c r="A8" s="2">
        <v>94498997</v>
      </c>
      <c r="B8" s="4">
        <v>3159281016</v>
      </c>
      <c r="C8" s="2" t="s">
        <v>234</v>
      </c>
      <c r="D8" s="2" t="s">
        <v>235</v>
      </c>
      <c r="E8" s="2" t="s">
        <v>8</v>
      </c>
      <c r="F8" s="4" t="s">
        <v>283</v>
      </c>
      <c r="G8" s="2" t="s">
        <v>284</v>
      </c>
      <c r="H8" s="2">
        <v>0</v>
      </c>
      <c r="I8" s="2">
        <v>0</v>
      </c>
      <c r="J8" s="2">
        <v>10</v>
      </c>
      <c r="K8" s="2" t="s">
        <v>283</v>
      </c>
      <c r="L8" s="5">
        <v>44474</v>
      </c>
    </row>
    <row r="9" spans="1:12" x14ac:dyDescent="0.35">
      <c r="A9" s="2">
        <v>93700586</v>
      </c>
      <c r="B9" s="4">
        <v>1965763915</v>
      </c>
      <c r="C9" s="2" t="s">
        <v>162</v>
      </c>
      <c r="D9" s="2" t="s">
        <v>163</v>
      </c>
      <c r="E9" s="2" t="s">
        <v>99</v>
      </c>
      <c r="F9" s="4" t="s">
        <v>283</v>
      </c>
      <c r="G9" s="2" t="s">
        <v>284</v>
      </c>
      <c r="H9" s="2">
        <v>8</v>
      </c>
      <c r="I9" s="2">
        <v>0</v>
      </c>
      <c r="J9" s="2">
        <v>10</v>
      </c>
      <c r="K9" s="2" t="s">
        <v>283</v>
      </c>
      <c r="L9" s="5">
        <v>42545</v>
      </c>
    </row>
    <row r="10" spans="1:12" x14ac:dyDescent="0.35">
      <c r="A10" s="2">
        <v>94498026</v>
      </c>
      <c r="B10" s="4">
        <v>2944051522</v>
      </c>
      <c r="C10" s="2" t="s">
        <v>148</v>
      </c>
      <c r="D10" s="2" t="s">
        <v>149</v>
      </c>
      <c r="E10" s="2" t="s">
        <v>99</v>
      </c>
      <c r="F10" s="4" t="s">
        <v>283</v>
      </c>
      <c r="G10" s="2" t="s">
        <v>284</v>
      </c>
      <c r="H10" s="2">
        <v>0</v>
      </c>
      <c r="I10" s="2">
        <v>1</v>
      </c>
      <c r="J10" s="2">
        <v>10</v>
      </c>
      <c r="K10" s="2" t="s">
        <v>283</v>
      </c>
      <c r="L10" s="5">
        <v>43601</v>
      </c>
    </row>
    <row r="11" spans="1:12" x14ac:dyDescent="0.35">
      <c r="A11" s="2">
        <v>94497614</v>
      </c>
      <c r="B11" s="4">
        <v>1531291820</v>
      </c>
      <c r="C11" s="2" t="s">
        <v>68</v>
      </c>
      <c r="D11" s="2" t="s">
        <v>69</v>
      </c>
      <c r="E11" s="2" t="s">
        <v>70</v>
      </c>
      <c r="F11" s="4" t="s">
        <v>283</v>
      </c>
      <c r="G11" s="2" t="s">
        <v>283</v>
      </c>
      <c r="H11" s="2">
        <v>19</v>
      </c>
      <c r="I11" s="2">
        <v>5</v>
      </c>
      <c r="J11" s="2">
        <v>10</v>
      </c>
      <c r="K11" s="2" t="s">
        <v>283</v>
      </c>
      <c r="L11" s="5">
        <v>42545</v>
      </c>
    </row>
    <row r="12" spans="1:12" x14ac:dyDescent="0.35">
      <c r="A12" s="2">
        <v>94496935</v>
      </c>
      <c r="B12" s="4">
        <v>102211962</v>
      </c>
      <c r="C12" s="2" t="s">
        <v>95</v>
      </c>
      <c r="D12" s="2" t="s">
        <v>96</v>
      </c>
      <c r="E12" s="2" t="s">
        <v>89</v>
      </c>
      <c r="F12" s="4" t="s">
        <v>283</v>
      </c>
      <c r="G12" s="2" t="s">
        <v>284</v>
      </c>
      <c r="H12" s="2">
        <v>0</v>
      </c>
      <c r="I12" s="2">
        <v>0</v>
      </c>
      <c r="J12" s="2">
        <v>19</v>
      </c>
      <c r="K12" s="2" t="s">
        <v>284</v>
      </c>
      <c r="L12" s="5">
        <v>42545</v>
      </c>
    </row>
    <row r="13" spans="1:12" x14ac:dyDescent="0.35">
      <c r="A13" s="2">
        <v>94499090</v>
      </c>
      <c r="B13" s="2">
        <v>4223469416</v>
      </c>
      <c r="C13" s="2" t="s">
        <v>146</v>
      </c>
      <c r="D13" s="2" t="s">
        <v>147</v>
      </c>
      <c r="E13" s="2" t="s">
        <v>22</v>
      </c>
      <c r="F13" s="4" t="s">
        <v>284</v>
      </c>
      <c r="G13" s="2" t="s">
        <v>284</v>
      </c>
      <c r="H13" s="2">
        <v>0</v>
      </c>
      <c r="I13" s="2">
        <v>0</v>
      </c>
      <c r="J13" s="2">
        <v>10</v>
      </c>
      <c r="K13" s="2" t="s">
        <v>284</v>
      </c>
      <c r="L13" s="5">
        <v>44666</v>
      </c>
    </row>
    <row r="14" spans="1:12" s="1" customFormat="1" x14ac:dyDescent="0.35">
      <c r="A14" s="1" t="s">
        <v>299</v>
      </c>
      <c r="E14" s="1">
        <f>COUNTA(E3:E13)</f>
        <v>11</v>
      </c>
      <c r="F14" s="1">
        <f>COUNTIF(F3:F13,"y")</f>
        <v>9</v>
      </c>
      <c r="G14" s="1">
        <f>COUNTIF(G3:G13,"y")</f>
        <v>5</v>
      </c>
      <c r="L14" s="11"/>
    </row>
    <row r="15" spans="1:12" x14ac:dyDescent="0.35">
      <c r="F15" s="2"/>
    </row>
    <row r="16" spans="1:12" x14ac:dyDescent="0.35">
      <c r="F16" s="2"/>
    </row>
  </sheetData>
  <pageMargins left="0.7" right="0.7" top="0.75" bottom="0.75" header="0.3" footer="0.3"/>
  <pageSetup paperSize="9" orientation="portrait" r:id="rId1"/>
  <ignoredErrors>
    <ignoredError sqref="E3 E4:E8 E10:E12 E13 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Includes in DES map = 133</vt:lpstr>
      <vt:lpstr>OpenAlex not Pubmed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Stansfield, Claire</dc:creator>
  <cp:lastModifiedBy>Claire Stansfield</cp:lastModifiedBy>
  <dcterms:created xsi:type="dcterms:W3CDTF">2024-08-02T13:14:14Z</dcterms:created>
  <dcterms:modified xsi:type="dcterms:W3CDTF">2025-05-07T13:22:32Z</dcterms:modified>
</cp:coreProperties>
</file>